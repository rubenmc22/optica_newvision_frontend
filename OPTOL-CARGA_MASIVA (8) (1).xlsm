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D66F" lockStructure="1"/>
  <bookViews>
    <workbookView xWindow="480" yWindow="270" windowWidth="15330" windowHeight="3945" firstSheet="7" activeTab="7"/>
  </bookViews>
  <sheets>
    <sheet name="Link - Marc" sheetId="9" state="hidden" r:id="rId1"/>
    <sheet name="Link - TIPO" sheetId="4" state="hidden" r:id="rId2"/>
    <sheet name="Link - Tipo2" sheetId="5" state="hidden" r:id="rId3"/>
    <sheet name="Link - Tipo3" sheetId="6" state="hidden" r:id="rId4"/>
    <sheet name="Link - Tipo4" sheetId="7" state="hidden" r:id="rId5"/>
    <sheet name="Link - Prov" sheetId="8" state="hidden" r:id="rId6"/>
    <sheet name="Link" sheetId="10" state="hidden" r:id="rId7"/>
    <sheet name="OPTOL CARGA MASIVA" sheetId="11" r:id="rId8"/>
  </sheets>
  <definedNames>
    <definedName name="INFO_CARGA_MASIVA_MARCA" localSheetId="0">'Link - Marc'!$A$1:$A$52</definedName>
    <definedName name="INFO_CARGA_MASIVA_PROVEEDOR" localSheetId="5">'Link - Prov'!$A$1:$A$4</definedName>
    <definedName name="INFO_CARGA_MASIVA_TIPO" localSheetId="1">'Link - TIPO'!$A$1</definedName>
    <definedName name="INFO_CARGA_MASIVA_TIPO2" localSheetId="2">'Link - Tipo2'!$A$1:$A$7</definedName>
    <definedName name="INFO_CARGA_MASIVA_TIPO3" localSheetId="3">'Link - Tipo3'!$A$1:$A$46</definedName>
    <definedName name="INFO_CARGA_MASIVA_TIPO4" localSheetId="4">'Link - Tipo4'!$A$1:$A$460</definedName>
  </definedNames>
  <calcPr calcId="144525"/>
</workbook>
</file>

<file path=xl/calcChain.xml><?xml version="1.0" encoding="utf-8"?>
<calcChain xmlns="http://schemas.openxmlformats.org/spreadsheetml/2006/main">
  <c r="O2" i="11" l="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 l="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H125" i="11"/>
  <c r="O125" i="11"/>
  <c r="H126" i="11"/>
  <c r="O126" i="11"/>
  <c r="H127" i="11"/>
  <c r="O127" i="11"/>
  <c r="H128" i="11"/>
  <c r="O128" i="11"/>
  <c r="H129" i="11"/>
  <c r="O129" i="11"/>
  <c r="H130" i="11"/>
  <c r="O130" i="11"/>
  <c r="H131" i="11"/>
  <c r="O131" i="11"/>
  <c r="H132" i="11"/>
  <c r="O132" i="11"/>
  <c r="H133" i="11"/>
  <c r="O133" i="11"/>
  <c r="H134" i="11"/>
  <c r="O134" i="11"/>
  <c r="H135" i="11"/>
  <c r="O135" i="11"/>
  <c r="O300" i="11" l="1"/>
  <c r="H300" i="11"/>
  <c r="O299" i="11"/>
  <c r="H299" i="11"/>
  <c r="O298" i="11"/>
  <c r="H298" i="11"/>
  <c r="O297" i="11"/>
  <c r="H297" i="11"/>
  <c r="O296" i="11"/>
  <c r="H296" i="11"/>
  <c r="O295" i="11"/>
  <c r="H295" i="11"/>
  <c r="O294" i="11"/>
  <c r="H294" i="11"/>
  <c r="O293" i="11"/>
  <c r="H293" i="11"/>
  <c r="O292" i="11"/>
  <c r="H292" i="11"/>
  <c r="O291" i="11"/>
  <c r="H291" i="11"/>
  <c r="O290" i="11"/>
  <c r="H290" i="11"/>
  <c r="O289" i="11"/>
  <c r="H289" i="11"/>
  <c r="O288" i="11"/>
  <c r="H288" i="11"/>
  <c r="O287" i="11"/>
  <c r="H287" i="11"/>
  <c r="O286" i="11"/>
  <c r="H286" i="11"/>
  <c r="O285" i="11"/>
  <c r="H285" i="11"/>
  <c r="O284" i="11"/>
  <c r="H284" i="11"/>
  <c r="O283" i="11"/>
  <c r="H283" i="11"/>
  <c r="O282" i="11"/>
  <c r="H282" i="11"/>
  <c r="O281" i="11"/>
  <c r="H281" i="11"/>
  <c r="O280" i="11"/>
  <c r="H280" i="11"/>
  <c r="O279" i="11"/>
  <c r="H279" i="11"/>
  <c r="O278" i="11"/>
  <c r="H278" i="11"/>
  <c r="O277" i="11"/>
  <c r="H277" i="11"/>
  <c r="O276" i="11"/>
  <c r="H276" i="11"/>
  <c r="O275" i="11"/>
  <c r="H275" i="11"/>
  <c r="O274" i="11"/>
  <c r="H274" i="11"/>
  <c r="O273" i="11"/>
  <c r="H273" i="11"/>
  <c r="O272" i="11"/>
  <c r="H272" i="11"/>
  <c r="O271" i="11"/>
  <c r="H271" i="11"/>
  <c r="O270" i="11"/>
  <c r="H270" i="11"/>
  <c r="O269" i="11"/>
  <c r="H269" i="11"/>
  <c r="O268" i="11"/>
  <c r="H268" i="11"/>
  <c r="O267" i="11"/>
  <c r="H267" i="11"/>
  <c r="O266" i="11"/>
  <c r="H266" i="11"/>
  <c r="O265" i="11"/>
  <c r="H265" i="11"/>
  <c r="O264" i="11"/>
  <c r="H264" i="11"/>
  <c r="O263" i="11"/>
  <c r="H263" i="11"/>
  <c r="O262" i="11"/>
  <c r="H262" i="11"/>
  <c r="O261" i="11"/>
  <c r="H261" i="11"/>
  <c r="O260" i="11"/>
  <c r="H260" i="11"/>
  <c r="O259" i="11"/>
  <c r="H259" i="11"/>
  <c r="O258" i="11"/>
  <c r="H258" i="11"/>
  <c r="O257" i="11"/>
  <c r="H257" i="11"/>
  <c r="O256" i="11"/>
  <c r="H256" i="11"/>
  <c r="O255" i="11"/>
  <c r="H255" i="11"/>
  <c r="O254" i="11"/>
  <c r="H254" i="11"/>
  <c r="O253" i="11"/>
  <c r="H253" i="11"/>
  <c r="O252" i="11"/>
  <c r="H252" i="11"/>
  <c r="O251" i="11"/>
  <c r="H251" i="11"/>
  <c r="O250" i="11"/>
  <c r="H250" i="11"/>
  <c r="O249" i="11"/>
  <c r="H249" i="11"/>
  <c r="O248" i="11"/>
  <c r="H248" i="11"/>
  <c r="O247" i="11"/>
  <c r="H247" i="11"/>
  <c r="O246" i="11"/>
  <c r="H246" i="11"/>
  <c r="O245" i="11"/>
  <c r="H245" i="11"/>
  <c r="O244" i="11"/>
  <c r="H244" i="11"/>
  <c r="O243" i="11"/>
  <c r="H243" i="11"/>
  <c r="O242" i="11"/>
  <c r="H242" i="11"/>
  <c r="O241" i="11"/>
  <c r="H241" i="11"/>
  <c r="O240" i="11"/>
  <c r="H240" i="11"/>
  <c r="O239" i="11"/>
  <c r="H239" i="11"/>
  <c r="O238" i="11"/>
  <c r="H238" i="11"/>
  <c r="O237" i="11"/>
  <c r="H237" i="11"/>
  <c r="O236" i="11"/>
  <c r="H236" i="11"/>
  <c r="O235" i="11"/>
  <c r="H235" i="11"/>
  <c r="O234" i="11"/>
  <c r="H234" i="11"/>
  <c r="O233" i="11"/>
  <c r="H233" i="11"/>
  <c r="O232" i="11"/>
  <c r="H232" i="11"/>
  <c r="O231" i="11"/>
  <c r="H231" i="11"/>
  <c r="O230" i="11"/>
  <c r="H230" i="11"/>
  <c r="O229" i="11"/>
  <c r="H229" i="11"/>
  <c r="O228" i="11"/>
  <c r="H228" i="11"/>
  <c r="O227" i="11"/>
  <c r="H227" i="11"/>
  <c r="O226" i="11"/>
  <c r="H226" i="11"/>
  <c r="O225" i="11"/>
  <c r="H225" i="11"/>
  <c r="O224" i="11"/>
  <c r="H224" i="11"/>
  <c r="O223" i="11"/>
  <c r="H223" i="11"/>
  <c r="O222" i="11"/>
  <c r="H222" i="11"/>
  <c r="O221" i="11"/>
  <c r="H221" i="11"/>
  <c r="O220" i="11"/>
  <c r="H220" i="11"/>
  <c r="O219" i="11"/>
  <c r="H219" i="11"/>
  <c r="O218" i="11"/>
  <c r="H218" i="11"/>
  <c r="O217" i="11"/>
  <c r="H217" i="11"/>
  <c r="O216" i="11"/>
  <c r="H216" i="11"/>
  <c r="O215" i="11"/>
  <c r="H215" i="11"/>
  <c r="O214" i="11"/>
  <c r="H214" i="11"/>
  <c r="O213" i="11"/>
  <c r="H213" i="11"/>
  <c r="O212" i="11"/>
  <c r="H212" i="11"/>
  <c r="O211" i="11"/>
  <c r="H211" i="11"/>
  <c r="O210" i="11"/>
  <c r="H210" i="11"/>
  <c r="O209" i="11"/>
  <c r="H209" i="11"/>
  <c r="O208" i="11"/>
  <c r="H208" i="11"/>
  <c r="O207" i="11"/>
  <c r="H207" i="11"/>
  <c r="O206" i="11"/>
  <c r="H206" i="11"/>
  <c r="O205" i="11"/>
  <c r="H205" i="11"/>
  <c r="O204" i="11"/>
  <c r="H204" i="11"/>
  <c r="O203" i="11"/>
  <c r="H203" i="11"/>
  <c r="O202" i="11"/>
  <c r="H202" i="11"/>
  <c r="O201" i="11"/>
  <c r="H201" i="11"/>
  <c r="O200" i="11"/>
  <c r="H200" i="11"/>
  <c r="O199" i="11"/>
  <c r="H199" i="11"/>
  <c r="H136" i="11"/>
  <c r="O136" i="11"/>
  <c r="H137" i="11"/>
  <c r="O137" i="11"/>
  <c r="H138" i="11"/>
  <c r="O138" i="11"/>
  <c r="H139" i="11"/>
  <c r="O139" i="11"/>
  <c r="H140" i="11"/>
  <c r="O140" i="11"/>
  <c r="H141" i="11"/>
  <c r="O141" i="11"/>
  <c r="H142" i="11"/>
  <c r="O142" i="11"/>
  <c r="H143" i="11"/>
  <c r="O143" i="11"/>
  <c r="H144" i="11"/>
  <c r="O144" i="11"/>
  <c r="H145" i="11"/>
  <c r="O145" i="11"/>
  <c r="H146" i="11"/>
  <c r="O146" i="11"/>
  <c r="H147" i="11"/>
  <c r="O147" i="11"/>
  <c r="H148" i="11"/>
  <c r="O148" i="11"/>
  <c r="H149" i="11"/>
  <c r="O149" i="11"/>
  <c r="H150" i="11"/>
  <c r="O150" i="11"/>
  <c r="H151" i="11"/>
  <c r="O151" i="11"/>
  <c r="H152" i="11"/>
  <c r="O152" i="11"/>
  <c r="H153" i="11"/>
  <c r="O153" i="11"/>
  <c r="H154" i="11"/>
  <c r="O154" i="11"/>
  <c r="H155" i="11"/>
  <c r="O155" i="11"/>
  <c r="H156" i="11"/>
  <c r="O156" i="11"/>
  <c r="H157" i="11"/>
  <c r="O157" i="11"/>
  <c r="H158" i="11"/>
  <c r="O158" i="11"/>
  <c r="H159" i="11"/>
  <c r="O159" i="11"/>
  <c r="H160" i="11"/>
  <c r="O160" i="11"/>
  <c r="H161" i="11"/>
  <c r="O161" i="11"/>
  <c r="H162" i="11"/>
  <c r="O162" i="11"/>
  <c r="H163" i="11"/>
  <c r="O163" i="11"/>
  <c r="H164" i="11"/>
  <c r="O164" i="11"/>
  <c r="H165" i="11"/>
  <c r="O165" i="11"/>
  <c r="H166" i="11"/>
  <c r="O166" i="11"/>
  <c r="H167" i="11"/>
  <c r="O167" i="11"/>
  <c r="H168" i="11"/>
  <c r="O168" i="11"/>
  <c r="H169" i="11"/>
  <c r="O169" i="11"/>
  <c r="H170" i="11"/>
  <c r="O170" i="11"/>
  <c r="H171" i="11"/>
  <c r="O171" i="11"/>
  <c r="H172" i="11"/>
  <c r="O172" i="11"/>
  <c r="H173" i="11"/>
  <c r="O173" i="11"/>
  <c r="H174" i="11"/>
  <c r="O174" i="11"/>
  <c r="H175" i="11"/>
  <c r="O175" i="11"/>
  <c r="H176" i="11"/>
  <c r="O176" i="11"/>
  <c r="H177" i="11"/>
  <c r="O177" i="11"/>
  <c r="H178" i="11"/>
  <c r="O178" i="11"/>
  <c r="H179" i="11"/>
  <c r="O179" i="11"/>
  <c r="H180" i="11"/>
  <c r="O180" i="11"/>
  <c r="H181" i="11"/>
  <c r="O181" i="11"/>
  <c r="H182" i="11"/>
  <c r="O182" i="11"/>
  <c r="H183" i="11"/>
  <c r="O183" i="11"/>
  <c r="H184" i="11"/>
  <c r="O184" i="11"/>
  <c r="H185" i="11"/>
  <c r="O185" i="11"/>
  <c r="H186" i="11"/>
  <c r="O186" i="11"/>
  <c r="H187" i="11"/>
  <c r="O187" i="11"/>
  <c r="H188" i="11"/>
  <c r="O188" i="11"/>
  <c r="H189" i="11"/>
  <c r="O189" i="11"/>
  <c r="H190" i="11"/>
  <c r="O190" i="11"/>
  <c r="H191" i="11"/>
  <c r="O191" i="11"/>
  <c r="H192" i="11"/>
  <c r="O192" i="11"/>
  <c r="H193" i="11"/>
  <c r="O193" i="11"/>
  <c r="H194" i="11"/>
  <c r="O194" i="11"/>
  <c r="H195" i="11"/>
  <c r="O195" i="11"/>
  <c r="H196" i="11"/>
  <c r="O196" i="11"/>
  <c r="H197" i="11"/>
  <c r="O197" i="11"/>
  <c r="H198" i="11"/>
  <c r="O198" i="11"/>
</calcChain>
</file>

<file path=xl/connections.xml><?xml version="1.0" encoding="utf-8"?>
<connections xmlns="http://schemas.openxmlformats.org/spreadsheetml/2006/main">
  <connection id="1" name="INFO_CARGA_MASIVA_MARCA" type="6" refreshedVersion="4" deleted="1" background="1">
    <textPr prompt="0" sourceFile="C:\OPTOL\INFO_CARGA_MASIVA_MARCA.CSV" decimal="," thousands=".">
      <textFields count="2">
        <textField/>
        <textField/>
      </textFields>
    </textPr>
  </connection>
  <connection id="2" name="INFO_CARGA_MASIVA_PROVEEDOR" type="6" refreshedVersion="4" deleted="1" background="1" refreshOnLoad="1" saveData="1">
    <textPr prompt="0" codePage="850" sourceFile="C:\OPTOL\INFO_CARGA_MASIVA_PROVEEDOR.CSV" decimal="," thousands=".">
      <textFields>
        <textField/>
      </textFields>
    </textPr>
  </connection>
  <connection id="3" name="INFO_CARGA_MASIVA_TIPO" type="6" refreshedVersion="4" deleted="1" background="1" refreshOnLoad="1" saveData="1">
    <textPr prompt="0" codePage="850" sourceFile="C:\OPTOL\INFO_CARGA_MASIVA_TIPO.CSV" decimal="," thousands=".">
      <textFields>
        <textField/>
      </textFields>
    </textPr>
  </connection>
  <connection id="4" name="INFO_CARGA_MASIVA_TIPO2" type="6" refreshedVersion="4" deleted="1" background="1" refreshOnLoad="1" saveData="1">
    <textPr prompt="0" codePage="850" sourceFile="C:\OPTOL\INFO_CARGA_MASIVA_TIPO2.CSV" decimal="," thousands=".">
      <textFields>
        <textField/>
      </textFields>
    </textPr>
  </connection>
  <connection id="5" name="INFO_CARGA_MASIVA_TIPO3" type="6" refreshedVersion="4" deleted="1" background="1" refreshOnLoad="1" saveData="1">
    <textPr prompt="0" codePage="850" sourceFile="C:\OPTOL\INFO_CARGA_MASIVA_TIPO3.CSV" decimal="," thousands=".">
      <textFields count="2">
        <textField/>
        <textField/>
      </textFields>
    </textPr>
  </connection>
  <connection id="6" name="INFO_CARGA_MASIVA_TIPO4" type="6" refreshedVersion="4" deleted="1" background="1" refreshOnLoad="1" saveData="1">
    <textPr prompt="0" codePage="850" sourceFile="C:\OPTOL\INFO_CARGA_MASIVA_TIPO4.CSV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<sst xmlns="http://schemas.openxmlformats.org/spreadsheetml/2006/main" count="1813" uniqueCount="909">
  <si>
    <t>SubCategoria 2</t>
  </si>
  <si>
    <t>SubCategoria 3</t>
  </si>
  <si>
    <t>SubCategoria 4</t>
  </si>
  <si>
    <t>Descripcion Adicional</t>
  </si>
  <si>
    <t>Factor de Ganancia</t>
  </si>
  <si>
    <t>PASTA AC C</t>
  </si>
  <si>
    <t>VARIOS</t>
  </si>
  <si>
    <t>BLACK</t>
  </si>
  <si>
    <t>PASTA AC  U</t>
  </si>
  <si>
    <t>MULTIPLUS ULTRA</t>
  </si>
  <si>
    <t>METAL QC U</t>
  </si>
  <si>
    <t>PASTA AC  D</t>
  </si>
  <si>
    <t>METAL SA C</t>
  </si>
  <si>
    <t>PASTA SA D</t>
  </si>
  <si>
    <t>PASTA/METAL AC D</t>
  </si>
  <si>
    <t>METAL AC JUNIOR U</t>
  </si>
  <si>
    <t>METAL AC U</t>
  </si>
  <si>
    <t>PASTA AA D</t>
  </si>
  <si>
    <t>PASTA AC N</t>
  </si>
  <si>
    <t>PAST AC U</t>
  </si>
  <si>
    <t>PAST A AC U</t>
  </si>
  <si>
    <t>PASTA AC JUNIOR U</t>
  </si>
  <si>
    <t>PASTA SA C</t>
  </si>
  <si>
    <t>METAL AA C</t>
  </si>
  <si>
    <t>METAL AC D</t>
  </si>
  <si>
    <t>METAL/PASTA AC</t>
  </si>
  <si>
    <t>METAL SA U</t>
  </si>
  <si>
    <t>METAL AC M</t>
  </si>
  <si>
    <t>PASTA AC U</t>
  </si>
  <si>
    <t>PASTA AA U</t>
  </si>
  <si>
    <t>PASTA AA C</t>
  </si>
  <si>
    <t>PASTA/METAL AC U</t>
  </si>
  <si>
    <t>METAL SA D</t>
  </si>
  <si>
    <t>PASTA AC D</t>
  </si>
  <si>
    <t>UNIC ADVANCE</t>
  </si>
  <si>
    <t>METAL SA JUNIOR U</t>
  </si>
  <si>
    <t>METAL AA U</t>
  </si>
  <si>
    <t>PASTA/METAL SA U</t>
  </si>
  <si>
    <t>LENTES DE CONTACTO BLANDOS</t>
  </si>
  <si>
    <t>METAL SA N</t>
  </si>
  <si>
    <t>PASTA SA U</t>
  </si>
  <si>
    <t>METALA AC C</t>
  </si>
  <si>
    <t>METAL AA D</t>
  </si>
  <si>
    <t>METAL SA JUNIOR D</t>
  </si>
  <si>
    <t>METALA SA  C</t>
  </si>
  <si>
    <t>METAL AC C</t>
  </si>
  <si>
    <t>53-16 138</t>
  </si>
  <si>
    <t>METAL AC  D</t>
  </si>
  <si>
    <t>PASTA  AC C</t>
  </si>
  <si>
    <t>METAL AC N</t>
  </si>
  <si>
    <t>ALUMINIO CHERRY</t>
  </si>
  <si>
    <t>AMARILLO</t>
  </si>
  <si>
    <t>AMARILLO TRANSPARENTE</t>
  </si>
  <si>
    <t>AMBAR</t>
  </si>
  <si>
    <t>AMBAR CON PEDRERIA</t>
  </si>
  <si>
    <t>AMBAR OSCURO</t>
  </si>
  <si>
    <t>AMBAR TRANSLUCIDO</t>
  </si>
  <si>
    <t>AMBAR TRASLUCIDO/CAREY</t>
  </si>
  <si>
    <t>AMBAR Y NARANJA</t>
  </si>
  <si>
    <t>AMBAR/DORADO</t>
  </si>
  <si>
    <t>AMBAR/GUN</t>
  </si>
  <si>
    <t>AMBAR/MARRON</t>
  </si>
  <si>
    <t>AZUL</t>
  </si>
  <si>
    <t>AZUL CLARO METALIZADO</t>
  </si>
  <si>
    <t>AZUL CLARO/PLATEADO</t>
  </si>
  <si>
    <t>AZUL MARINO</t>
  </si>
  <si>
    <t>AZUL MARINO/TRANSPARENTE</t>
  </si>
  <si>
    <t>AZUL MARINO/VERDE</t>
  </si>
  <si>
    <t>AZUL METALIZADO</t>
  </si>
  <si>
    <t>AZUL METALIZADO/AZUL/TRANSPARENTE</t>
  </si>
  <si>
    <t>AZUL METALIZADO/BLANCO</t>
  </si>
  <si>
    <t>AZUL METALIZADO/GUN</t>
  </si>
  <si>
    <t>AZUL OSCURO</t>
  </si>
  <si>
    <t>AZUL PERLADO/NARANJA</t>
  </si>
  <si>
    <t>AZUL/AZUL</t>
  </si>
  <si>
    <t>AZUL/BLANCO</t>
  </si>
  <si>
    <t>AZUL/GRIS</t>
  </si>
  <si>
    <t>AZUL/GRIS CLARO</t>
  </si>
  <si>
    <t>AZUL/NARANJA</t>
  </si>
  <si>
    <t>AZUL/PLATEADO</t>
  </si>
  <si>
    <t>AZUL/VERDE</t>
  </si>
  <si>
    <t>BEIGE</t>
  </si>
  <si>
    <t>BEIGE/MARRON</t>
  </si>
  <si>
    <t>BLACK CHROME</t>
  </si>
  <si>
    <t>BLACK VIVID PINK/MAX SPEED LENS</t>
  </si>
  <si>
    <t>BLACK/GREY</t>
  </si>
  <si>
    <t>BLACK/TRANSPARENT</t>
  </si>
  <si>
    <t>BLACK/WHITE</t>
  </si>
  <si>
    <t>BLANCO</t>
  </si>
  <si>
    <t>BLANCO/BLANCO</t>
  </si>
  <si>
    <t>BLANCO/DORADO</t>
  </si>
  <si>
    <t>BLANCO/NEGRO</t>
  </si>
  <si>
    <t>BLANCO/PLATEADO</t>
  </si>
  <si>
    <t>BLANCO/ROJO</t>
  </si>
  <si>
    <t>BLUE</t>
  </si>
  <si>
    <t>BLUE/TRANSPARENT</t>
  </si>
  <si>
    <t>BROCE/CAREY CON PIEDRAS</t>
  </si>
  <si>
    <t>BRONCE</t>
  </si>
  <si>
    <t>BRONCE CON ROTULADO</t>
  </si>
  <si>
    <t>BRONCE METALIZADO</t>
  </si>
  <si>
    <t>BRONCE/AMBAR</t>
  </si>
  <si>
    <t>BRONCE/BRONCE</t>
  </si>
  <si>
    <t>BRONCE/CAREY</t>
  </si>
  <si>
    <t>BRONCE/MARRON</t>
  </si>
  <si>
    <t>BRONCE/MARRON TRASLUCIDO</t>
  </si>
  <si>
    <t>BRONCE/NARANJA</t>
  </si>
  <si>
    <t>BRONCE/NEGRO</t>
  </si>
  <si>
    <t>BRONCE/ROSADO</t>
  </si>
  <si>
    <t>BRONE/CAREY</t>
  </si>
  <si>
    <t>BROWN</t>
  </si>
  <si>
    <t>BROWN TORTOISE/BROWN LENS</t>
  </si>
  <si>
    <t>BROWN/TRANSPARENT</t>
  </si>
  <si>
    <t>BROWN/TRANSPARENTE</t>
  </si>
  <si>
    <t>BROWNSTONE/BROWN</t>
  </si>
  <si>
    <t>CAFE</t>
  </si>
  <si>
    <t>CAFE/MARRON</t>
  </si>
  <si>
    <t>CAFE/PEDRERIA</t>
  </si>
  <si>
    <t>CAFE/VERDE</t>
  </si>
  <si>
    <t>CARAMELO</t>
  </si>
  <si>
    <t>CARAMELO/ROSADO</t>
  </si>
  <si>
    <t>CAREI</t>
  </si>
  <si>
    <t>CAREI/PEDRERIA</t>
  </si>
  <si>
    <t>CAREY/CAREY</t>
  </si>
  <si>
    <t>CAREY/DORADO</t>
  </si>
  <si>
    <t>CAREY/MARRON</t>
  </si>
  <si>
    <t>CAREY/PLATEADO</t>
  </si>
  <si>
    <t>COBRE</t>
  </si>
  <si>
    <t>COBRE/MARRON CLARO</t>
  </si>
  <si>
    <t>COBRE/MARRON OSCURO</t>
  </si>
  <si>
    <t>COBRE/PLATEADO/NARANJA</t>
  </si>
  <si>
    <t>CRISTAL</t>
  </si>
  <si>
    <t>CROMADO</t>
  </si>
  <si>
    <t>DARK OAK/BROWN LENS</t>
  </si>
  <si>
    <t>DIAMOND TOR/BRN</t>
  </si>
  <si>
    <t>DINERO DTORT/BRN</t>
  </si>
  <si>
    <t>DORADO</t>
  </si>
  <si>
    <t>DORADO/BEIGE</t>
  </si>
  <si>
    <t>DORADO/BLANCO</t>
  </si>
  <si>
    <t>DORADO/DORADO</t>
  </si>
  <si>
    <t>DORADO/DORADO CON  PIEDRAS</t>
  </si>
  <si>
    <t>DORADO/FRESA/PIEDRERIA</t>
  </si>
  <si>
    <t>DORADO/LADRILLO</t>
  </si>
  <si>
    <t>DORADO/MARRON</t>
  </si>
  <si>
    <t>DORADO/MARRON CLARO</t>
  </si>
  <si>
    <t>DORADO/MARRON CLARO CON PIEDRAS</t>
  </si>
  <si>
    <t>DORADO/MARRON CON PIEDRAS</t>
  </si>
  <si>
    <t>DORADO/MARRON TRANSLUCIDO</t>
  </si>
  <si>
    <t>DORADO/MARRON/PEDRERIA</t>
  </si>
  <si>
    <t>DORADO/NARANJA PERLADO</t>
  </si>
  <si>
    <t>DORADO/NEGRO</t>
  </si>
  <si>
    <t>DORADO/PEDRERIA</t>
  </si>
  <si>
    <t>DORADO/TASLUCIDO</t>
  </si>
  <si>
    <t>DORADO/VERDE ESMERALDA CON PEDRERIA</t>
  </si>
  <si>
    <t>DORADOS</t>
  </si>
  <si>
    <t>ELWOOD DTORT/BRN</t>
  </si>
  <si>
    <t>ELWOOD SBLK-A1/GRY</t>
  </si>
  <si>
    <t>FRESA PARADISE</t>
  </si>
  <si>
    <t>FUCSIA</t>
  </si>
  <si>
    <t>FUCSIA/FUCSIA</t>
  </si>
  <si>
    <t>FUCSIA/MORADO</t>
  </si>
  <si>
    <t>GREY FADED CRYSTAL/GREY LENS</t>
  </si>
  <si>
    <t>GREY/BLUE</t>
  </si>
  <si>
    <t>GRIS</t>
  </si>
  <si>
    <t>GRIS PLOMO</t>
  </si>
  <si>
    <t>GRIS PLOMO/AMBAR</t>
  </si>
  <si>
    <t>GRIS PLOMO/BEIG</t>
  </si>
  <si>
    <t>GRIS PLOMO/BLANCO CON GRIS</t>
  </si>
  <si>
    <t>GRIS PLOMO/MARRON</t>
  </si>
  <si>
    <t>GRIS PLOMO/NEGRO</t>
  </si>
  <si>
    <t>GRIS PLOMO/ROJO</t>
  </si>
  <si>
    <t>GRIS PLOMO/VINOTINTO</t>
  </si>
  <si>
    <t>GRIS TRANSLUCIDO</t>
  </si>
  <si>
    <t>GRIS/ MARRON TRANSLUCIDO</t>
  </si>
  <si>
    <t>GRIS/AZUL</t>
  </si>
  <si>
    <t>GRIS/GRIS TRASLUCIDO</t>
  </si>
  <si>
    <t>GRIS/NEGRO</t>
  </si>
  <si>
    <t>GRIS/NEGRO CON PIEDRAS</t>
  </si>
  <si>
    <t>GRIS/NEGRO/BLANCO</t>
  </si>
  <si>
    <t>GRIS/ROJO</t>
  </si>
  <si>
    <t>GRIS/TRANSPARENTE</t>
  </si>
  <si>
    <t>GUAYABA PERLADO</t>
  </si>
  <si>
    <t>GUN</t>
  </si>
  <si>
    <t>GUN METAL</t>
  </si>
  <si>
    <t>GUN/AMBAR</t>
  </si>
  <si>
    <t>GUN/AZUL</t>
  </si>
  <si>
    <t>GUN/AZUL CLARO</t>
  </si>
  <si>
    <t>GUN/AZUL MARINO</t>
  </si>
  <si>
    <t>GUN/CAREY</t>
  </si>
  <si>
    <t>GUN/GRIS CLARO</t>
  </si>
  <si>
    <t>GUN/GRIS PLOMO</t>
  </si>
  <si>
    <t>GUN/GUN</t>
  </si>
  <si>
    <t>GUN/GUN CON PERFORACIONES</t>
  </si>
  <si>
    <t>GUN/GUN CON PIEDRAS</t>
  </si>
  <si>
    <t>GUN/MARRON</t>
  </si>
  <si>
    <t>GUN/MARRON BRILLANTE</t>
  </si>
  <si>
    <t>GUN/MARRON CON FLORES</t>
  </si>
  <si>
    <t>GUN/NEGRO BRILLANTE</t>
  </si>
  <si>
    <t>GUN/NEGRO BRILLANTE CON PEDRERIA</t>
  </si>
  <si>
    <t>GUN/NEGRO MATTE</t>
  </si>
  <si>
    <t>GUN/NEGRO/MARRON</t>
  </si>
  <si>
    <t>GUN/TRANSPARENT</t>
  </si>
  <si>
    <t>GUN/VINOTINTO</t>
  </si>
  <si>
    <t>KAKI</t>
  </si>
  <si>
    <t>LADRILLO/LILA CON MARIPOSAS</t>
  </si>
  <si>
    <t>LIGHT FRAME</t>
  </si>
  <si>
    <t>LILA /LILA</t>
  </si>
  <si>
    <t>LILA BRILLANTE</t>
  </si>
  <si>
    <t>LILA TRASLUCIDO/MORADO</t>
  </si>
  <si>
    <t>LILA/FRESA</t>
  </si>
  <si>
    <t>LILA/FUCSIA</t>
  </si>
  <si>
    <t>LILA/LILA</t>
  </si>
  <si>
    <t>LILA/LILA PERLADO</t>
  </si>
  <si>
    <t>LILA/MARRON TRASLUCIDO</t>
  </si>
  <si>
    <t>LIMIT ROSE GALLERY</t>
  </si>
  <si>
    <t>LIRO A LV</t>
  </si>
  <si>
    <t>LOGAN BERRY/VERMILLION</t>
  </si>
  <si>
    <t>MADERA</t>
  </si>
  <si>
    <t>MARRON</t>
  </si>
  <si>
    <t>MARRON /MARRON</t>
  </si>
  <si>
    <t>MARRON BRILLANTE</t>
  </si>
  <si>
    <t>MARRON BRILLANTE/BLANCO</t>
  </si>
  <si>
    <t>MARRON BRILLANTE/NARANJA</t>
  </si>
  <si>
    <t>MARRON CLARO</t>
  </si>
  <si>
    <t>MARRON CLARO/AZUL</t>
  </si>
  <si>
    <t>MARRON CLARO/DORADO</t>
  </si>
  <si>
    <t>MARRON CLARO/TRANSPARENTE</t>
  </si>
  <si>
    <t>MARRON CON PEDRERIA</t>
  </si>
  <si>
    <t>MARRON MATTE</t>
  </si>
  <si>
    <t>MARRON METALIZADO</t>
  </si>
  <si>
    <t>MARRON METALIZADO/AMBAR</t>
  </si>
  <si>
    <t>MARRON METALIZADO/AMBAR CON PEDRERIA</t>
  </si>
  <si>
    <t>MARRON METALIZADO/MARRON BRILLANTE</t>
  </si>
  <si>
    <t>MARRON METALIZADO/MARRON MATTE</t>
  </si>
  <si>
    <t>MARRON METALIZADO/NARANJA/ROSADO</t>
  </si>
  <si>
    <t>MARRON METALIZADO/VINOTINTO</t>
  </si>
  <si>
    <t>MARRON OSCURO</t>
  </si>
  <si>
    <t>MARRON OSCURO/MARRON</t>
  </si>
  <si>
    <t>MARRON TRANSLUCIDO CON PEDRERIA</t>
  </si>
  <si>
    <t>MARRON TRASLUCIDO</t>
  </si>
  <si>
    <t>MARRON TRASLUCIDO DORADO</t>
  </si>
  <si>
    <t>MARRON TRASLUCIDO/MARRON</t>
  </si>
  <si>
    <t>MARRON TRASLUCIDO/NARANJA</t>
  </si>
  <si>
    <t>MARRON/AMARRILLO</t>
  </si>
  <si>
    <t>MARRON/AZUL</t>
  </si>
  <si>
    <t>MARRON/AZUL MATTE</t>
  </si>
  <si>
    <t>MARRON/BEIGE</t>
  </si>
  <si>
    <t>MARRON/BEIGE TRASLUCIDO</t>
  </si>
  <si>
    <t>MARRON/BEIGE/NEGRO</t>
  </si>
  <si>
    <t>MARRON/BLANCO</t>
  </si>
  <si>
    <t>MARRON/BRONCE</t>
  </si>
  <si>
    <t>MARRON/CAFE</t>
  </si>
  <si>
    <t>MARRON/CAREI</t>
  </si>
  <si>
    <t>MARRON/CAREY</t>
  </si>
  <si>
    <t>MARRON/DORADO</t>
  </si>
  <si>
    <t>MARRON/DORADO/PIEDRERIA</t>
  </si>
  <si>
    <t>MARRON/FLORES ROSA</t>
  </si>
  <si>
    <t>MARRON/GRIS</t>
  </si>
  <si>
    <t>MARRON/MARRON</t>
  </si>
  <si>
    <t>MARRON/MARRON CLARO</t>
  </si>
  <si>
    <t>MARRON/MARRON CON MARIPOSAS</t>
  </si>
  <si>
    <t>MARRON/MARRON CON PIEDRAS</t>
  </si>
  <si>
    <t>MARRON/MARRON CON PIEDRERIA</t>
  </si>
  <si>
    <t>MARRON/MARRON MATTE</t>
  </si>
  <si>
    <t>MARRON/MARRON NARANJA</t>
  </si>
  <si>
    <t>MARRON/MARRON PASTA</t>
  </si>
  <si>
    <t>MARRON/MARRON PERLADO</t>
  </si>
  <si>
    <t>MARRON/MARRON TRANSLUCIDO</t>
  </si>
  <si>
    <t>MARRON/MARRON TRASLUCIDO</t>
  </si>
  <si>
    <t>MARRON/NARANJA</t>
  </si>
  <si>
    <t>MARRON/NEGRO</t>
  </si>
  <si>
    <t>MARRON/PEDRERIA</t>
  </si>
  <si>
    <t>MARRON/TRANSPARENTE</t>
  </si>
  <si>
    <t>MARRON/TURQUESA</t>
  </si>
  <si>
    <t>MARRON/VERDE</t>
  </si>
  <si>
    <t>METAL ROSA</t>
  </si>
  <si>
    <t>MIEL</t>
  </si>
  <si>
    <t>MINX GING/GRYG</t>
  </si>
  <si>
    <t>MINX2 CHAMP/BRN</t>
  </si>
  <si>
    <t>MORADO</t>
  </si>
  <si>
    <t>MORADO CON PIEDRAS</t>
  </si>
  <si>
    <t>MORADO PERLADO</t>
  </si>
  <si>
    <t>MORADO TRASLUCIDO/LILA</t>
  </si>
  <si>
    <t>MORADO/BLANCO</t>
  </si>
  <si>
    <t>MORADO/MARRON/NEGRO</t>
  </si>
  <si>
    <t>MORADO/MORADO CON PIEDRAS</t>
  </si>
  <si>
    <t>MORADO/NARANJA</t>
  </si>
  <si>
    <t>MORADO/PLATEADO</t>
  </si>
  <si>
    <t>MORADO/PLATEADO/ROSADO</t>
  </si>
  <si>
    <t>MORADO/VINOTINTO</t>
  </si>
  <si>
    <t>MORADO/VIOLETA</t>
  </si>
  <si>
    <t>MOSTAZA/NEGRO</t>
  </si>
  <si>
    <t>NARAJA</t>
  </si>
  <si>
    <t>NARANJA</t>
  </si>
  <si>
    <t>NARANJA/BRONCE</t>
  </si>
  <si>
    <t>NARANJA/NARANJA</t>
  </si>
  <si>
    <t>NARANJA/NEGRO</t>
  </si>
  <si>
    <t>NARANJA/VERDE</t>
  </si>
  <si>
    <t>NEGRO</t>
  </si>
  <si>
    <t>NEGRO BRILLANTE</t>
  </si>
  <si>
    <t>NEGRO BRILLANTE CON PERFORACIONES</t>
  </si>
  <si>
    <t>NEGRO BRILLANTE CON ROTULADO</t>
  </si>
  <si>
    <t>NEGRO BRILLANTE/AZUL CIELO</t>
  </si>
  <si>
    <t>NEGRO BRILLANTE/BLANCO</t>
  </si>
  <si>
    <t>NEGRO BRILLANTE/GUN</t>
  </si>
  <si>
    <t>NEGRO BRILLANTE/NEGRO BRILLANTE</t>
  </si>
  <si>
    <t>NEGRO BRILLANTE/NEGRO MATTE</t>
  </si>
  <si>
    <t>NEGRO BRILLANTE/PLATEADO</t>
  </si>
  <si>
    <t>NEGRO BRILLANTE/TRANSPARENTE/NEGRO</t>
  </si>
  <si>
    <t>NEGRO BRILLANTE/VERDE</t>
  </si>
  <si>
    <t>NEGRO CON PEDRERIA</t>
  </si>
  <si>
    <t>NEGRO MATTE</t>
  </si>
  <si>
    <t>NEGRO MATTE/BLANCO</t>
  </si>
  <si>
    <t>NEGRO MATTE/GRIS PLOMO/BLANCO</t>
  </si>
  <si>
    <t>NEGRO MATTE/NARANJA</t>
  </si>
  <si>
    <t>NEGRO MATTE/NEGRO BRILLANTE</t>
  </si>
  <si>
    <t>NEGRO MATTE/ROJO</t>
  </si>
  <si>
    <t>NEGRO OPACO</t>
  </si>
  <si>
    <t>NEGRO PERLADO</t>
  </si>
  <si>
    <t>NEGRO ROJO</t>
  </si>
  <si>
    <t>NEGRO TRANSLUCIDO</t>
  </si>
  <si>
    <t>NEGRO TRANSPARENTE/NEGRO</t>
  </si>
  <si>
    <t>NEGRO/ PASTA GRIS PLOMO</t>
  </si>
  <si>
    <t>NEGRO/ALUMINIO</t>
  </si>
  <si>
    <t>NEGRO/AZUL</t>
  </si>
  <si>
    <t>NEGRO/BEIGE</t>
  </si>
  <si>
    <t>NEGRO/BLANCO</t>
  </si>
  <si>
    <t>NEGRO/BLANCO PASTA</t>
  </si>
  <si>
    <t>NEGRO/BLANCO/GRIS</t>
  </si>
  <si>
    <t>NEGRO/BLANCO/PEDRERIA</t>
  </si>
  <si>
    <t>NEGRO/BLANCO/PLATEADO</t>
  </si>
  <si>
    <t>NEGRO/DETALLES TRANSPARENTES</t>
  </si>
  <si>
    <t>NEGRO/DORADO</t>
  </si>
  <si>
    <t>NEGRO/GRIS</t>
  </si>
  <si>
    <t>NEGRO/GRIS METALIZADO</t>
  </si>
  <si>
    <t>NEGRO/GRIS/PLATEADO</t>
  </si>
  <si>
    <t>NEGRO/GUN</t>
  </si>
  <si>
    <t>NEGRO/NARANJA</t>
  </si>
  <si>
    <t>NEGRO/NEGRO</t>
  </si>
  <si>
    <t>NEGRO/NEGRO BLANCO</t>
  </si>
  <si>
    <t>NEGRO/NEGRO CON ARABESCO</t>
  </si>
  <si>
    <t>NEGRO/NEGRO CON FLORES</t>
  </si>
  <si>
    <t>NEGRO/NEGRO CON PIEDRAS</t>
  </si>
  <si>
    <t>NEGRO/NEGRO MATTE</t>
  </si>
  <si>
    <t>NEGRO/NEGRO/AMARILLO</t>
  </si>
  <si>
    <t>NEGRO/NEGRO/GRIS PLOMO</t>
  </si>
  <si>
    <t>NEGRO/NEGRO/PIEDRAS</t>
  </si>
  <si>
    <t>NEGRO/NEGRO/ROJO</t>
  </si>
  <si>
    <t>NEGRO/PEDRERIA</t>
  </si>
  <si>
    <t>NEGRO/PLATA</t>
  </si>
  <si>
    <t>NEGRO/PLATEADO</t>
  </si>
  <si>
    <t>NEGRO/PLATEADO/BLANCO</t>
  </si>
  <si>
    <t>NEGRO/PLATEADO/VERDE</t>
  </si>
  <si>
    <t>NEGRO/ROJO</t>
  </si>
  <si>
    <t>NEGRO/ROJO/TRANSPARENTE</t>
  </si>
  <si>
    <t>NEGRO/ROSADO</t>
  </si>
  <si>
    <t>NEGRO/TRANSPARENTE</t>
  </si>
  <si>
    <t>NEGRO/VERDE</t>
  </si>
  <si>
    <t>NEGRO/VERDE MANZANA</t>
  </si>
  <si>
    <t>NEGRO/VIOLETA CON PEDRERIA</t>
  </si>
  <si>
    <t>NG MT</t>
  </si>
  <si>
    <t>NRGRO/NEGRO</t>
  </si>
  <si>
    <t>OCRE</t>
  </si>
  <si>
    <t>OCRE/MARRON</t>
  </si>
  <si>
    <t>ORO/NEGRO</t>
  </si>
  <si>
    <t>PEWTER MATTE</t>
  </si>
  <si>
    <t>PEWTER MATTE/NEGRO</t>
  </si>
  <si>
    <t>PINK/TRANSPARENT</t>
  </si>
  <si>
    <t>PLATA/MARRON</t>
  </si>
  <si>
    <t>PLATA/NEGRO</t>
  </si>
  <si>
    <t>PLATA/NEGRO CON PEDRERIA</t>
  </si>
  <si>
    <t>PLATA/NEGRO/GRIS</t>
  </si>
  <si>
    <t>PLATEADA</t>
  </si>
  <si>
    <t>PLATEADO</t>
  </si>
  <si>
    <t>PLATEADO / AZUL</t>
  </si>
  <si>
    <t>PLATEADO CON ARABESCOS</t>
  </si>
  <si>
    <t>PLATEADO CON CUERO NEGRO</t>
  </si>
  <si>
    <t>PLATEADO MARRON</t>
  </si>
  <si>
    <t>PLATEADO/ MARRON</t>
  </si>
  <si>
    <t>PLATEADO/AZUL</t>
  </si>
  <si>
    <t>PLATEADO/AZUL MARINO</t>
  </si>
  <si>
    <t>PLATEADO/AZUL TRANSLUCIDO</t>
  </si>
  <si>
    <t>PLATEADO/BLANCO</t>
  </si>
  <si>
    <t>PLATEADO/BLANCO CON PEDRERIA</t>
  </si>
  <si>
    <t>PLATEADO/BLANCO PERLADO</t>
  </si>
  <si>
    <t>PLATEADO/FUCSIA</t>
  </si>
  <si>
    <t>PLATEADO/GRIS</t>
  </si>
  <si>
    <t>PLATEADO/GRIS PERLADO</t>
  </si>
  <si>
    <t>PLATEADO/LINEAS MARRONES</t>
  </si>
  <si>
    <t>PLATEADO/MARRON</t>
  </si>
  <si>
    <t>PLATEADO/MORADO/LILA</t>
  </si>
  <si>
    <t>PLATEADO/NARANJA</t>
  </si>
  <si>
    <t>PLATEADO/NEGRO</t>
  </si>
  <si>
    <t>PLATEADO/NEGRO BRILLANTE</t>
  </si>
  <si>
    <t>PLATEADO/NEGRO/PEDRERIA</t>
  </si>
  <si>
    <t>PLATEADO/ROJO</t>
  </si>
  <si>
    <t>PLATEADO/ROJO CON PIEDRAS</t>
  </si>
  <si>
    <t>PLATEADO/ROSADO/PEDRERIA</t>
  </si>
  <si>
    <t>PLATEADO/VINOTINTO</t>
  </si>
  <si>
    <t>PLATEADO/VINOTINTO CON PIEDRAS</t>
  </si>
  <si>
    <t>PLATEADO/VIOLETA CON PEDRERIA</t>
  </si>
  <si>
    <t>PLATIADO</t>
  </si>
  <si>
    <t>PLATIADO/NEGRO</t>
  </si>
  <si>
    <t>PLOMO</t>
  </si>
  <si>
    <t>PLOMO/BLANCO</t>
  </si>
  <si>
    <t>PPLATEADO</t>
  </si>
  <si>
    <t>PREACHER SBLK-GRY SB/GRY</t>
  </si>
  <si>
    <t>PURE HAZEL</t>
  </si>
  <si>
    <t>PURPLE/LIGHT PURPLE</t>
  </si>
  <si>
    <t>PURPURA</t>
  </si>
  <si>
    <t>PURPURA/PLATEADO</t>
  </si>
  <si>
    <t>Q-FLEX2 BLACK</t>
  </si>
  <si>
    <t>RED</t>
  </si>
  <si>
    <t>REVOLVER HAV/BRN</t>
  </si>
  <si>
    <t>RITCHIE SBLK/GRYG</t>
  </si>
  <si>
    <t>ROJA/ROJO CON PIEDRAS</t>
  </si>
  <si>
    <t>ROJO</t>
  </si>
  <si>
    <t>ROJO/MORADO</t>
  </si>
  <si>
    <t>ROJO/NARANJA/VIOLETA</t>
  </si>
  <si>
    <t>ROJO/NEGRO</t>
  </si>
  <si>
    <t>ROJO/PLATEADO</t>
  </si>
  <si>
    <t>ROJO/VERDE</t>
  </si>
  <si>
    <t>ROJO/VINOTINTO</t>
  </si>
  <si>
    <t>ROJO/VIOLETA</t>
  </si>
  <si>
    <t>ROSA METALIZADO/ROSADO/VINOTINTO TRANSLUCIDO</t>
  </si>
  <si>
    <t>ROSA/ROSA</t>
  </si>
  <si>
    <t>ROSA/ROSA PERLADO CON PIEDRAS</t>
  </si>
  <si>
    <t>ROSA/VINOTINTO</t>
  </si>
  <si>
    <t>ROSADO</t>
  </si>
  <si>
    <t>ROSADO TRASLUCIDO/ROJO PERLADO</t>
  </si>
  <si>
    <t>ROSADO/NEGRO</t>
  </si>
  <si>
    <t>ROSADO/VIOLETA</t>
  </si>
  <si>
    <t>SATIN BLACK CHROME STEEL WALNUT CARGO</t>
  </si>
  <si>
    <t>SATIN BROWN</t>
  </si>
  <si>
    <t>SEA1 SBLK/GRYGC</t>
  </si>
  <si>
    <t>SHINY GUN METAL</t>
  </si>
  <si>
    <t>SHINY WALNUT</t>
  </si>
  <si>
    <t>SILVER</t>
  </si>
  <si>
    <t>SLATE BLUE</t>
  </si>
  <si>
    <t>SSUK/GRYFA</t>
  </si>
  <si>
    <t>STEEL</t>
  </si>
  <si>
    <t>STEEL PLUM BROWN STONE LIGHT MATTE BROWN</t>
  </si>
  <si>
    <t>THE ABSOLUTE SBLK/GRY</t>
  </si>
  <si>
    <t>THE HUSTLE BRN/BRN</t>
  </si>
  <si>
    <t>THE VERVE BRNT/BRN</t>
  </si>
  <si>
    <t>TORTOISE/BROWN LENS</t>
  </si>
  <si>
    <t>TRANSO/CLEAR</t>
  </si>
  <si>
    <t>TRANSPARENTE</t>
  </si>
  <si>
    <t>TRANSPARENTE/ATIGRADO</t>
  </si>
  <si>
    <t>TRANSPARENTE/AZUL MARINO</t>
  </si>
  <si>
    <t>TRANSPARENTE/AZUL/PLATEADO</t>
  </si>
  <si>
    <t>TRANSPARENTE/BEIG/PEDRERIA</t>
  </si>
  <si>
    <t>TRANSPARENTE/BLANCO</t>
  </si>
  <si>
    <t>TRANSPARENTE/BLANCO CON FLORES</t>
  </si>
  <si>
    <t>TRANSPARENTE/BLANCO/NEGRO</t>
  </si>
  <si>
    <t>TRANSPARENTE/FUCSIA</t>
  </si>
  <si>
    <t>TRANSPARENTE/GRIS PERLADO</t>
  </si>
  <si>
    <t>TRANSPARENTE/GRIS PLOMO</t>
  </si>
  <si>
    <t>TRANSPARENTE/GRIS TRASLUCIDO CON PIEDRAS</t>
  </si>
  <si>
    <t>TRANSPARENTE/MORADO PERLADO</t>
  </si>
  <si>
    <t>TRANSPARENTE/NARANJA</t>
  </si>
  <si>
    <t>TRANSPARENTE/NEGRO</t>
  </si>
  <si>
    <t>TRANSPARENTE/NEGRO CON FLORES</t>
  </si>
  <si>
    <t>TRANSPARENTE/NEGRO PERLADO</t>
  </si>
  <si>
    <t>TRANSPARENTE/ROJO</t>
  </si>
  <si>
    <t>TRANSPARENTE/ROJO CON FLORES GRIS</t>
  </si>
  <si>
    <t>TRANSPARENTE/ROSA CON PIEDRAS</t>
  </si>
  <si>
    <t>TRANSPARENTE/ROSADO</t>
  </si>
  <si>
    <t>TRANSPARENTE/ROSADO TRANSLUCIDO</t>
  </si>
  <si>
    <t>TRANSPARENTE/VERDE MANZANA CON PEDRERIA</t>
  </si>
  <si>
    <t>TRANSPARENTE/VERDE/AMARILLO</t>
  </si>
  <si>
    <t>TRANSPARENTE/VINOTINTO</t>
  </si>
  <si>
    <t>TRANSPARENTE/VINOTINTO PERLARDO</t>
  </si>
  <si>
    <t>TRANSPARENTE/VIOLETA</t>
  </si>
  <si>
    <t>TRANSPARENTE/VIOLETA TRANSLUCIDO CON PEDRERIA</t>
  </si>
  <si>
    <t>TRASNPARENTE/AMARRILLO CON PIEDRAS</t>
  </si>
  <si>
    <t>VERDE</t>
  </si>
  <si>
    <t>VERDE AZULADO</t>
  </si>
  <si>
    <t>VERDE OSCURO</t>
  </si>
  <si>
    <t>VERDE OSCURO/VERDE CLARO</t>
  </si>
  <si>
    <t>VERDE PERLADO</t>
  </si>
  <si>
    <t>VERDE TRASLUCIDO</t>
  </si>
  <si>
    <t>VERDE/AZUL</t>
  </si>
  <si>
    <t>VERDE/BEIGE</t>
  </si>
  <si>
    <t>VERDE/BLANCO</t>
  </si>
  <si>
    <t>VERDE/BLANCO/PEDRERIA</t>
  </si>
  <si>
    <t>VERDE/NARANJA</t>
  </si>
  <si>
    <t>VERDE/PLATEADO</t>
  </si>
  <si>
    <t>VERDE/ROJO</t>
  </si>
  <si>
    <t>VINOTINTO</t>
  </si>
  <si>
    <t>VINOTINTO CON PEDRERIA</t>
  </si>
  <si>
    <t>VINOTINTO/FRESA</t>
  </si>
  <si>
    <t>VINOTINTO/MAARRON</t>
  </si>
  <si>
    <t>VINOTINTO/MORADO</t>
  </si>
  <si>
    <t>VINOTINTO/NEGRO</t>
  </si>
  <si>
    <t>VINOTINTO/PEDRERIA</t>
  </si>
  <si>
    <t>VINOTINTO/PLATEADO</t>
  </si>
  <si>
    <t>VINOTINTO/ROSADO</t>
  </si>
  <si>
    <t>VINOTINTO/TRANSPARENTE</t>
  </si>
  <si>
    <t>VINOTINTO/VINOTINTO</t>
  </si>
  <si>
    <t>VINOTINTO/VINOTINTO CON ARABESCOS</t>
  </si>
  <si>
    <t>VIOLETA</t>
  </si>
  <si>
    <t>VIOLETA BRILLANTE</t>
  </si>
  <si>
    <t>VIOLETA CON PEDRERIA</t>
  </si>
  <si>
    <t>VIOLETA TRANSLUCIDO</t>
  </si>
  <si>
    <t>VIOLETA/TRANSPARENTE</t>
  </si>
  <si>
    <t>WAYFARER</t>
  </si>
  <si>
    <t>SI</t>
  </si>
  <si>
    <t>NO</t>
  </si>
  <si>
    <t>*Monto de Venta Individual (sin iva)</t>
  </si>
  <si>
    <t>*Costo del Producto</t>
  </si>
  <si>
    <t>*Numero Factura</t>
  </si>
  <si>
    <t>*Marca</t>
  </si>
  <si>
    <t>*Referencia del producto</t>
  </si>
  <si>
    <t>*Tipo de Producto</t>
  </si>
  <si>
    <t>*Venta Propia?</t>
  </si>
  <si>
    <t>*Cantidad</t>
  </si>
  <si>
    <t>*Posee IVA?</t>
  </si>
  <si>
    <t>*Nombre Proveedor</t>
  </si>
  <si>
    <t>*Campos con asteriscos son obligatorios</t>
  </si>
  <si>
    <t>ACARIA</t>
  </si>
  <si>
    <t>AIR PILOT</t>
  </si>
  <si>
    <t>ALTO IMPACTO</t>
  </si>
  <si>
    <t>ARDO</t>
  </si>
  <si>
    <t>BLAKE</t>
  </si>
  <si>
    <t>CATO KIDS</t>
  </si>
  <si>
    <t>CHEIRO KIDS</t>
  </si>
  <si>
    <t>CLEAR</t>
  </si>
  <si>
    <t>COL</t>
  </si>
  <si>
    <t>DANTE</t>
  </si>
  <si>
    <t>DAREK</t>
  </si>
  <si>
    <t>DAYNO</t>
  </si>
  <si>
    <t>DENOVA</t>
  </si>
  <si>
    <t>DOLCEVIT</t>
  </si>
  <si>
    <t>DOMBY</t>
  </si>
  <si>
    <t>EDOM</t>
  </si>
  <si>
    <t>EIRINI</t>
  </si>
  <si>
    <t>EYE WISH</t>
  </si>
  <si>
    <t>FRANZ</t>
  </si>
  <si>
    <t>GEERT</t>
  </si>
  <si>
    <t>GERD</t>
  </si>
  <si>
    <t>GERSSEL</t>
  </si>
  <si>
    <t>HALO</t>
  </si>
  <si>
    <t>IBIZA</t>
  </si>
  <si>
    <t>ILDIKO</t>
  </si>
  <si>
    <t>IVANKA</t>
  </si>
  <si>
    <t>IZUMI</t>
  </si>
  <si>
    <t>JOY KIDS</t>
  </si>
  <si>
    <t>KAI</t>
  </si>
  <si>
    <t>KARI</t>
  </si>
  <si>
    <t>LETO</t>
  </si>
  <si>
    <t>LIMEY</t>
  </si>
  <si>
    <t>LOT MASTER</t>
  </si>
  <si>
    <t>LOTTI</t>
  </si>
  <si>
    <t>LUXURY STAR</t>
  </si>
  <si>
    <t>NEW LOOK</t>
  </si>
  <si>
    <t>PENTTE</t>
  </si>
  <si>
    <t>PERZZO</t>
  </si>
  <si>
    <t>PIERRE</t>
  </si>
  <si>
    <t>PLANET</t>
  </si>
  <si>
    <t>QUANTUM</t>
  </si>
  <si>
    <t>RADDAR</t>
  </si>
  <si>
    <t>REMONT</t>
  </si>
  <si>
    <t>REYBIC</t>
  </si>
  <si>
    <t>ROSE FRAME</t>
  </si>
  <si>
    <t>ROSETI</t>
  </si>
  <si>
    <t>ROYDEM</t>
  </si>
  <si>
    <t>SAMIRA</t>
  </si>
  <si>
    <t>SCAVLY</t>
  </si>
  <si>
    <t>SORATO</t>
  </si>
  <si>
    <t>VASHY</t>
  </si>
  <si>
    <t>VINZER</t>
  </si>
  <si>
    <t>OFTALMICO</t>
  </si>
  <si>
    <t>ARMANDO</t>
  </si>
  <si>
    <t>JOAN BERFOM INV</t>
  </si>
  <si>
    <t>LUIS GUZMAN</t>
  </si>
  <si>
    <t>GUSTAVO RUIZ</t>
  </si>
  <si>
    <t>JOAN BERFOM</t>
  </si>
  <si>
    <t>DAVID SOZA</t>
  </si>
  <si>
    <t>ALOARISTI</t>
  </si>
  <si>
    <t>ALOARISTI  C.A.</t>
  </si>
  <si>
    <t>ALOARISTI, C.A.</t>
  </si>
  <si>
    <t>FALCON, C.A.</t>
  </si>
  <si>
    <t>TOOMFO</t>
  </si>
  <si>
    <t>TOOMFO  VIEW TOG8504 FUCSIA</t>
  </si>
  <si>
    <t>MONTURA</t>
  </si>
  <si>
    <t>PASTA ARO COMPLETO</t>
  </si>
  <si>
    <t>PASTA FUCSIA  55-17-145 AGATADA MONTURA ECONOMICA</t>
  </si>
  <si>
    <t>DAMA</t>
  </si>
  <si>
    <t>GENERICO</t>
  </si>
  <si>
    <t>NO APLICA</t>
  </si>
  <si>
    <t>SLABON</t>
  </si>
  <si>
    <t>SLABON EYEWEAR  SL001 NEGRA</t>
  </si>
  <si>
    <t>PASRA ARO COMPLETO</t>
  </si>
  <si>
    <t>PASTA  NEGRA  53-20-140 CUADRADA MONTURA ECONOMICA</t>
  </si>
  <si>
    <t>CANDY</t>
  </si>
  <si>
    <t>CANDY VISION CY5629 FUCSIA</t>
  </si>
  <si>
    <t>PASTA FUCSIA  TRANSPARENTE  50-19-139 REDONDA MONTURA ECONOMICA</t>
  </si>
  <si>
    <t>ROUX</t>
  </si>
  <si>
    <t>ROUX DSR 8316P ROSADO TRASNPARENTE</t>
  </si>
  <si>
    <t>PASTA ARO COMPETO</t>
  </si>
  <si>
    <t>PASTA ROSADO /TRANSAPRENTE 54-19-139 SEMI AGATADA MONTURA ECONOMICA</t>
  </si>
  <si>
    <t>ROUX DSR 8317P GRIS  TRASNPARENTE</t>
  </si>
  <si>
    <t>PASTA GRIS /TRANSAPRENTE 52-18-145 CUADRADA MONTURA ECONOMICA</t>
  </si>
  <si>
    <t>UV400</t>
  </si>
  <si>
    <t>UV400 BLUE LIGHT BLOCKING NEGRA</t>
  </si>
  <si>
    <t>METAL ARO COMPLETO</t>
  </si>
  <si>
    <t>METAL  NEGRA VARILLA DETALLES CON MARRON  CUADRADA MONTURA ECONOMICA</t>
  </si>
  <si>
    <t>UNISEX</t>
  </si>
  <si>
    <t>GET VIEW</t>
  </si>
  <si>
    <t>GET VIEW GV 120 GRIS TRANSPARENTE</t>
  </si>
  <si>
    <t>PASA GRIS / TRANSPARENTE 60-18-145 PILOTO CUADRADA MONTURA ECONOMICA</t>
  </si>
  <si>
    <t>CABALLERO</t>
  </si>
  <si>
    <t>KYRIL</t>
  </si>
  <si>
    <t>KAYRIL  VISION KYR3303 ROJO TRANSPARENTE</t>
  </si>
  <si>
    <t>PASTA ARO COPLETO</t>
  </si>
  <si>
    <t>PASTA ROJO /TRANSPARENTE / VARILLAS TRANSAPRENTES CON DETALLES ROJOS 56-18-144 CUADRADA MONTURA ECONOMICA</t>
  </si>
  <si>
    <t xml:space="preserve">CIVIK </t>
  </si>
  <si>
    <t>CIVIK CIV MPS3225 ROJO NEGRO</t>
  </si>
  <si>
    <t>PASTA ARO CO PLETO</t>
  </si>
  <si>
    <t>PASTA ROJA/ NEGRO 53-20-175</t>
  </si>
  <si>
    <t>LIA</t>
  </si>
  <si>
    <t>LIA OPTICAL LI1082 NEGRA</t>
  </si>
  <si>
    <t>PASTA NEGRA 56-18-141  CUADRADA MONTURA ECONOMICA</t>
  </si>
  <si>
    <t>SUPER FLEX</t>
  </si>
  <si>
    <t>SUPER FLEX 530  ROSA VIEJA ANIMAL PRINT</t>
  </si>
  <si>
    <t>METAL ROSADO/ANIMAL PRINT/ VARILLAS CON DETALLES DE ANIML PRINT 51-16-135  REDONDA MONTIRA ECONOMICA</t>
  </si>
  <si>
    <t>KIDS</t>
  </si>
  <si>
    <t>TRANSFORMERS</t>
  </si>
  <si>
    <t>TRANSFORMER TF-2301  MORADO CLARO/BLANCO NEGRO</t>
  </si>
  <si>
    <t>PASTA MORADO/BLANCO NEGRO/ VARILLAS BLANCAS CON NEGRO 47-17-133  REDONDA  MONTURA ECONOMICA</t>
  </si>
  <si>
    <t>FREEMAN</t>
  </si>
  <si>
    <t>FREEMAN EYEWEAR Z18634 NEGRA</t>
  </si>
  <si>
    <t>NEGRO 49-15-135 NEGRA REDONDA MONTURA ECONOMICA</t>
  </si>
  <si>
    <t>FREEMAN EYEWEAR Z18631 NEGRA</t>
  </si>
  <si>
    <t>NEGRO 48-15-135 NEGRA REDONDA MONTURA ECONOMICA</t>
  </si>
  <si>
    <t>FREEMAN EYEWEAR Z18632 NEGRA/ ROSADO</t>
  </si>
  <si>
    <t>NEGRO 45-16-135 NEGRA VARILLA ROSADAS Y NEGRAS REDONDA MONTURA ECONOMICA</t>
  </si>
  <si>
    <t>NEGRO 48-15-135 NEGRAREDONDA MONTURA ECONOMICA</t>
  </si>
  <si>
    <t>KING KONG</t>
  </si>
  <si>
    <t>KING KONG K8846 MORADA</t>
  </si>
  <si>
    <t>MORADA 45-17-26 MORADA REDONDA MONTURA ECONOMICA</t>
  </si>
  <si>
    <t>SUCL</t>
  </si>
  <si>
    <t>SUCL S5510 ROSA NEGRO</t>
  </si>
  <si>
    <t>PASTA NEGRA VARILLAS NEGRA 52-17-145 MONTURA ECONOMICA CUADRADA</t>
  </si>
  <si>
    <t>YVES</t>
  </si>
  <si>
    <t>YVES SAIN LAURENT YSL6237 NRGRA</t>
  </si>
  <si>
    <t>NEGRA 49-19-45 CUADRADA  MONTURA ECONOMICA</t>
  </si>
  <si>
    <t>TSOKAI</t>
  </si>
  <si>
    <t>TSOKAI K8805 AZUL NARANJA</t>
  </si>
  <si>
    <t>PASTA AZUL/ NARAJA 48-18-128 REDONDA MONTURA ECONOMICA</t>
  </si>
  <si>
    <t>AUBREY</t>
  </si>
  <si>
    <t>AUBREY  AU-1 MORADA</t>
  </si>
  <si>
    <t>PASTA MORADA 54-18-144 CUADRADA MONTURA ECONOMICA</t>
  </si>
  <si>
    <t>AUBREY  AU-2 MORADA</t>
  </si>
  <si>
    <t>PASTA MORADA 53-17-143 CUADRADA MONTURA ECONOMICA</t>
  </si>
  <si>
    <t>SILKE</t>
  </si>
  <si>
    <t>SILKE EYEWEAR SI3031 MORADA</t>
  </si>
  <si>
    <t>PASTA MORADA 50-17-140 CUADRADA MONTURA ECONOMICA</t>
  </si>
  <si>
    <t>SILKE EYEWEAR SI3033 MORADA</t>
  </si>
  <si>
    <t>PASTA MORADA 51-17-140 CUADRADA MONTURA ECONOMICA</t>
  </si>
  <si>
    <t>TOP LINE</t>
  </si>
  <si>
    <t>TOP LINE 032 DORADA MATE</t>
  </si>
  <si>
    <t>METAL SEMI AL AIRE</t>
  </si>
  <si>
    <t>METAL  DORADA /VARILLAS DORADA  MATE 49 -20-135 REDONDA MOTNTURA ECONOMICA</t>
  </si>
  <si>
    <t>THE BLUY RAY</t>
  </si>
  <si>
    <t>THE BLUY RAY YL23806 TRNASPARNTE /MARRON BEIGE</t>
  </si>
  <si>
    <t>PASTA TRANSPARENTE/ VARILLA MARRON Y BEIGE 46-19-130 CUDRADA MONTURA ECONOMICA</t>
  </si>
  <si>
    <t>THE BLUY RAY YL23913 GRIS TRNASPARNTE /AZUL</t>
  </si>
  <si>
    <t>PASTA  GRIS TRANSPARENTE/ VARILLA AZUL GRIS 46-18-130 CREDONDA MONTURA ECONOMICA</t>
  </si>
  <si>
    <t>THE BLUY RAY YL23605 ROSA TRNASPARNTE /ROSA MATE</t>
  </si>
  <si>
    <t>PASTA  ROSADO TRANSPARENTE/ VARILLA ROSA MATE  45-18-130 CUADRADA MONTURA ECONOMICA</t>
  </si>
  <si>
    <t>THE BLUY RAY YL23605  TRNASPARNTE /ROSA/ VERDE</t>
  </si>
  <si>
    <t>PASTA  TRANSPARENTE/ VARILLA GRIS VERDE AGUA  45-18-130 REDONDA MONTURA ECONOMICA</t>
  </si>
  <si>
    <t>THE BLUY RAY YL23913  GRIS TRANSPARENTE /AZUL CIELO</t>
  </si>
  <si>
    <t>PASTA  GRIS TRANSPARENTE/ VARILLA AZUL CLARA GRIS  46-18-130 REDONDA MONTURA ECONOMICA</t>
  </si>
  <si>
    <t>LATEMON</t>
  </si>
  <si>
    <t>LATEMON  L3157 NEGRA</t>
  </si>
  <si>
    <t>PASTA NEGRA49-17 CUADRADA MONTURA ECONOMICA</t>
  </si>
  <si>
    <t>ARISSTOS</t>
  </si>
  <si>
    <t>ARISSTOS 48 20 BRONCE</t>
  </si>
  <si>
    <t>METAL BRONCE REDONDA SEMI AL AIRE MONTURA ECONOMICA</t>
  </si>
  <si>
    <t>INDIGO</t>
  </si>
  <si>
    <t xml:space="preserve">INDIGO MI0008 PLATEADA /ROSADA </t>
  </si>
  <si>
    <t>METAL PLATEADO  /VARILLA DE  PASTA ROSADA MONTURA ECONOMICA  REDONDA</t>
  </si>
  <si>
    <t>BRUHN</t>
  </si>
  <si>
    <t>BRUHN TES9401 NEGRA</t>
  </si>
  <si>
    <t>PASTA  NREGRA 52-20-140 CUADRADA MONTURA EONOMICA</t>
  </si>
  <si>
    <t>COEEO</t>
  </si>
  <si>
    <t>COEEO1163 NEGRA</t>
  </si>
  <si>
    <t>PASTA NEGRA 48-20-142 REDONDA MONTURA ECONOMICA</t>
  </si>
  <si>
    <t>ABSTRACTO</t>
  </si>
  <si>
    <t>ABSTRACTO VISION ABS 014 NEGRA DORADA</t>
  </si>
  <si>
    <t>PASTA /METAL</t>
  </si>
  <si>
    <t xml:space="preserve"> METAL DORADA / VARILLAS NEGRAS DE PASTA 50/20148 MONTURA ECONOMICA</t>
  </si>
  <si>
    <t>CLIPIN</t>
  </si>
  <si>
    <t>CLIPIN CLG8522 ROSADO ANARANJADO CLARO</t>
  </si>
  <si>
    <t>PASTA ARO COMPELTO</t>
  </si>
  <si>
    <t>PASTA ROSAD ANRANAJADO CLARO  56-17-145 SEMI AGATADA  MONTURA ECONOMICA</t>
  </si>
  <si>
    <t>CLIPIN CLG8528  NEGRA</t>
  </si>
  <si>
    <t>PASTA NEGRA  56-17-145 SEMI CUADRADA  MONTURA ECONOMICA</t>
  </si>
  <si>
    <t>BOREAL</t>
  </si>
  <si>
    <t xml:space="preserve">BOREAL BRL 225 NEGRA </t>
  </si>
  <si>
    <t xml:space="preserve">METAL NEGRO/ VARILLAS PASTA NEGRA 54-18-140 CUADRADA  MONTURA ECONOMICA </t>
  </si>
  <si>
    <t xml:space="preserve">ENZO </t>
  </si>
  <si>
    <t>ENZO VISION  ENZ7607 PLATEADA</t>
  </si>
  <si>
    <t>METAL PLATEADO/VARILLAS DE PASTA AZUL MARINO 54-17-140 CUADRADO  MONTURA ECONOMICA</t>
  </si>
  <si>
    <t>PLANET PL2408 ROJA NEGRO</t>
  </si>
  <si>
    <t>PASTA ROJO  CON NRGRO  52-16-140 CUADRADA MONRTURA ECONOMICA</t>
  </si>
  <si>
    <t>TORS</t>
  </si>
  <si>
    <t xml:space="preserve">TORS BMK297K NEGRA </t>
  </si>
  <si>
    <t>PASTA NEGRA 49-16-135  CUADRADA NONTURA ECONOMICA</t>
  </si>
  <si>
    <t xml:space="preserve">TORS BMK298K NEGRA </t>
  </si>
  <si>
    <t>JUNE GTH</t>
  </si>
  <si>
    <t>JUNE GTH L1182CC AZUL CLARO/ VERDE AGUA/ NEGRO</t>
  </si>
  <si>
    <t>PASTA AZUL CLARO TRANSPARENTE/VARILLAAS VERDE AQGUA NEGRO 48-18-136 REDONDA MONTURA ECONOMICA</t>
  </si>
  <si>
    <t>SILMO</t>
  </si>
  <si>
    <t xml:space="preserve">SILMO SIL2608 ROJA TRANSPRENTE </t>
  </si>
  <si>
    <t>PASTA ROJA TRANSPARENTE 48-20-140  REDONDA MONTURA ECONOMICA</t>
  </si>
  <si>
    <t xml:space="preserve">DON </t>
  </si>
  <si>
    <t xml:space="preserve">DON VISION DON3108 MARRON CLARO </t>
  </si>
  <si>
    <t>PASTA MARRON CLARON 53-20-145  REDONDA  MONTURA ECONOMICA</t>
  </si>
  <si>
    <t>CAN</t>
  </si>
  <si>
    <t xml:space="preserve">CAN  VISION  CAN3108 NEGRA MATE </t>
  </si>
  <si>
    <t>PASTA NEGRA MATE 23-20-145 MONTURA ECONOMICA</t>
  </si>
  <si>
    <t xml:space="preserve">GENERICO GEN01 PLATEADO /NEGRO </t>
  </si>
  <si>
    <t>METAL PLATEADO /VARILLA PLATEADAS NEGRA 01 MONTURA ECONOMICA</t>
  </si>
  <si>
    <t>GENERICO GEN 02 20201 ROJO TRANSPARENTE</t>
  </si>
  <si>
    <t>PASTA ROJA  VARILLAS ROJA /VINO TINTO 55-16-140 CUADRADA  MONTURA ECONOMICA</t>
  </si>
  <si>
    <t xml:space="preserve">GENERICO </t>
  </si>
  <si>
    <t>GENERICO GEN 0318148 NEGRO /ROJO</t>
  </si>
  <si>
    <t>PASTA  NEGRA /VARILLAS ROJAS 46-16-130  CUADRADA MONTURA ECONOMICA</t>
  </si>
  <si>
    <t>GENERICO GEN 04 NEGRO MATE</t>
  </si>
  <si>
    <t>PASTA NEGRO MATE 04 CUADRADA MONTURA ECONOMICA</t>
  </si>
  <si>
    <t>TAGS</t>
  </si>
  <si>
    <t xml:space="preserve">TAGS TAG 08 </t>
  </si>
  <si>
    <t>PASTA  GRIS  48-20-140 REDONDA</t>
  </si>
  <si>
    <t>ENZO ENZ7606 METAL MARRON</t>
  </si>
  <si>
    <t>METAL MARRON / VARILLASNEGRO 54-18-140 CUADRADO</t>
  </si>
  <si>
    <t>LINE</t>
  </si>
  <si>
    <t>LINE LIN 2208 AZUL</t>
  </si>
  <si>
    <t xml:space="preserve">MONTUTA </t>
  </si>
  <si>
    <t>METAL AZUL /VARILLAS NEGRA 51-17-140 CUADRADA</t>
  </si>
  <si>
    <t>TWINS</t>
  </si>
  <si>
    <t>TWINS TW-8 MORADO /LILA</t>
  </si>
  <si>
    <t>PASTA MORADO/VARILLAS LILAS 46-17-28  CUADRADAS</t>
  </si>
  <si>
    <t>DACCHI</t>
  </si>
  <si>
    <t>DACHHI D33363  AL AIRE NEGRO / MARRON</t>
  </si>
  <si>
    <t>METAL AL AIRE</t>
  </si>
  <si>
    <t>METAL AL AIRE /VARILLAS NEGRAS MARRON 53-18-145 REDONDAS</t>
  </si>
  <si>
    <t>OGA</t>
  </si>
  <si>
    <t>OGA MOREL TR 90 9012 AZUL MARINO</t>
  </si>
  <si>
    <t>PASTA  ARO COMPLETO</t>
  </si>
  <si>
    <t>PASTA AZUL MARINO 52-21-130 REDONDA</t>
  </si>
  <si>
    <t>MIU MIU</t>
  </si>
  <si>
    <t>MIU MIU  OM803 MORADA</t>
  </si>
  <si>
    <t>METAL MORADO /VARILLA METAL MASTA 52-20-140 SEMI  REDONDA</t>
  </si>
  <si>
    <t>KENDALL</t>
  </si>
  <si>
    <t>KENDAL +KYLIE KKO130  BRONCE/ CREMA</t>
  </si>
  <si>
    <t>METAL BRONCE /VARILLAS  DE METAL, PASTA CREMA REDONDA AVIADADOR 48-20-140</t>
  </si>
  <si>
    <t>KOYA</t>
  </si>
  <si>
    <t xml:space="preserve">KOYA KE 1294 PLATEADA </t>
  </si>
  <si>
    <t>METAL SEMI AL AIRE PLATEADO REDONDA AVIADOR</t>
  </si>
  <si>
    <t>GUCCI</t>
  </si>
  <si>
    <t>GUCCI GH 8016 VERDE CLARO/ TRANSAPRENTE</t>
  </si>
  <si>
    <t>PASTA  VERDE  CLARO/ VARILLAS TRANSPARENTE , DETALLES ROJO,NEGRO  56-16-145 CUADRADA</t>
  </si>
  <si>
    <t>ESCALA</t>
  </si>
  <si>
    <t xml:space="preserve">ESCALA  ES39153 MARRON CLARO </t>
  </si>
  <si>
    <t>PASTA MARRON CLARO, TRANSPARENTE 55-17-140 CUADRADA</t>
  </si>
  <si>
    <t>KIKIN KIDS</t>
  </si>
  <si>
    <t>KIKIN KIDS NIN 836 MORADO/LILA</t>
  </si>
  <si>
    <t>PASTA MORADA /VARILLAS LILA 47-15-128 CUADRADA</t>
  </si>
  <si>
    <t xml:space="preserve">GENERICO  GEN05  93602 NEGRO   MATE/TRANSPARENTE </t>
  </si>
  <si>
    <t>PASTA ARO COPLLETO</t>
  </si>
  <si>
    <t>PASTA NEGRA MATE DETALLES EN TRANSPARENCIA 54-17-145</t>
  </si>
  <si>
    <t>GENERICO GEN 06 WL012 AZUL REY TRANSPARENTE</t>
  </si>
  <si>
    <t>PASTA AZUL REY TRANSPARENTE /VARILLAS DEPORTIVAS 54-17-137  CUADRADAS</t>
  </si>
  <si>
    <t>GENERICO GEN 07 Z308 ROSADO CLARO /NARANJA CLARO /TRANSPARENTE</t>
  </si>
  <si>
    <t>PASTA RO COMPLETO</t>
  </si>
  <si>
    <t>PASTA ROSADA CLARA CON NARANJA CLARO/ TRANSPARENTE 53-16-145 CUADRADA</t>
  </si>
  <si>
    <t>GENERICO GEN 08 G95-NEGRA</t>
  </si>
  <si>
    <t>METAL  NEGRA MATE 53-13-143 CUADRADA</t>
  </si>
  <si>
    <t>GENERICO GEN 09  NEGRA MATE</t>
  </si>
  <si>
    <t>METAL NEGRA MATE /VARILLAS DETALLE EN DORADO MODELO PILOTO CUADRADA</t>
  </si>
  <si>
    <t>GENERICO GEN 10 Z303  NARANJ CLARO/ NEGRO</t>
  </si>
  <si>
    <t>PASTA NARANJA /COLORES VARIOS /VARILLAS DETALLES EN FLORES 53-17-145 SEMI REDONDA</t>
  </si>
  <si>
    <t xml:space="preserve">ROTNY </t>
  </si>
  <si>
    <t>ROTNY KIDS DAB 792 MORADO</t>
  </si>
  <si>
    <t>PASTA MORADA CON CUERDITA 48-17-131 CUADRADA</t>
  </si>
  <si>
    <t>DESSERS</t>
  </si>
  <si>
    <t>DESSERS DEP 6601BNEGRA MATE</t>
  </si>
  <si>
    <t>PASTA NEGRA MATE /VARIILAS DEPORTIVAS 55-18-145 CUADRADA</t>
  </si>
  <si>
    <t>ALPI</t>
  </si>
  <si>
    <t>ALPI  OCCHIALI  6957 MORADA</t>
  </si>
  <si>
    <t xml:space="preserve">METAL MORADA / VARILLAS DE PASTA MORADAA 54-16- 135 REDONDA </t>
  </si>
  <si>
    <t>ALPI  OCCHIALI  7141 NEGRA</t>
  </si>
  <si>
    <t xml:space="preserve">METAL PLATEADO / VARILLAS DE PASTA NEGRA 52-18-135 REDONDA </t>
  </si>
  <si>
    <t>PALAZZO</t>
  </si>
  <si>
    <t>PALAZZO 97689 ROSADO TRANSPARENTE</t>
  </si>
  <si>
    <t xml:space="preserve">PASTA ROSADA/ TRANSPARENTE 53-20-142 SEMI AGATADA </t>
  </si>
  <si>
    <t xml:space="preserve">PALAZZO 82038  MARRON  </t>
  </si>
  <si>
    <t>PASTA ARO SEMI AL AIRE</t>
  </si>
  <si>
    <t>PASTA MARRON / ANIMAL PRINT 57-21-148 CUADRADA</t>
  </si>
  <si>
    <t>PALAZZO 81073 AZUL TRANSPARENTE</t>
  </si>
  <si>
    <t>PASTA AZUL CLARO /TRANSPARENTE/VARILLAS  ANIMAL PRINT 50-21-143 REDONDA</t>
  </si>
  <si>
    <t xml:space="preserve">PALAZZO 97688  NEGRO </t>
  </si>
  <si>
    <t>PASTA NEGRO /TRANSPARENTE/VARILLAS  BEIGE TRANSPARENTE 53-21-142 REDONDA</t>
  </si>
  <si>
    <t>YILINA</t>
  </si>
  <si>
    <t>YIILINA TR9022102  SALMON/TRANSPRENTE</t>
  </si>
  <si>
    <t>PASTA SALMON/TRANSPARENTE/ VARILLAS DE METAL, TOQUES DE ROSADO 56-16-140 AGATADA</t>
  </si>
  <si>
    <t>YILINA TR90 2264  NEGRA /TRANSPARENTE</t>
  </si>
  <si>
    <t>PASTA NEGR/TRANSPARENTE/ VARILAS METAL CON RAYAS 53-18-146 AGATADA</t>
  </si>
  <si>
    <t>TR90</t>
  </si>
  <si>
    <t>TR90 82068 TRANSPARENTE</t>
  </si>
  <si>
    <t>PASTA TRANSPARENTE/ DETALLES OVALADOS BEIGE 57-18-140 CUADRADA</t>
  </si>
  <si>
    <t xml:space="preserve">Br </t>
  </si>
  <si>
    <t>Br BRAVEVISION YC 31105 ROJO</t>
  </si>
  <si>
    <t>PASTA ROJO/ ESCARCHADO 52-20-145  CUADRADA</t>
  </si>
  <si>
    <t>PHILOT</t>
  </si>
  <si>
    <t>PIHLOT  PH 1934  BRONCE</t>
  </si>
  <si>
    <t xml:space="preserve">METAL BRONCE /VARILLAS BRONCE ,MARRON 48-16-1135 REDONDA </t>
  </si>
  <si>
    <t>GENERICO GEN 11 UV400 8048 VERDE AGUA</t>
  </si>
  <si>
    <t>PASTA VERDE CLARO /TRANSPARENTE/VARILLAS METAL DETALLES VERDE Y MARRON 54-18-140 CUADRADA</t>
  </si>
  <si>
    <t>GENERICO GEN 12 MF02 03 AZUL MATE</t>
  </si>
  <si>
    <t>PASTA AZUL MATE /VARILLAS DEPORTIVAS DETALLES NEGRO 55-18-143 CUADRADA</t>
  </si>
  <si>
    <t>GENERICO GEN 13 NEGRA</t>
  </si>
  <si>
    <t xml:space="preserve">MONTURA </t>
  </si>
  <si>
    <t>PASTA NEGRA MATE /VARILLA METAL NEGRO CON DORADO 6047 AGATADA</t>
  </si>
  <si>
    <t>GENERICO GEN 14 NEGRA</t>
  </si>
  <si>
    <t xml:space="preserve">ACETATO  SEMI AL AIRE </t>
  </si>
  <si>
    <t>SEMI AL IRE NEGRA  CUADRADA</t>
  </si>
  <si>
    <t>GENERICO GEN 15  NEGRA</t>
  </si>
  <si>
    <t>GENERICO GEN 16 NEGRA</t>
  </si>
  <si>
    <t>GENERICO GEN 17 NEGRA</t>
  </si>
  <si>
    <t>KEIKO</t>
  </si>
  <si>
    <t>KEIKO 88018 ROSADA CLARA</t>
  </si>
  <si>
    <t>PASTA ROSADO CLARO/ TRANSPARENTE 53-16-145 SEMI REDONDA</t>
  </si>
  <si>
    <t>PALAZZO 2105 TRANSPARENTE</t>
  </si>
  <si>
    <t>PASTA TRANSPARENTE/VARILLAS NEGRA VERDE TURQUESA 521-18-141  AGATADA</t>
  </si>
  <si>
    <t>PALAZZO 82033 NUT/DORRADO</t>
  </si>
  <si>
    <t>METAL NUT/DORADO/TRANSPARENTE /VARILLAS METAL DORADO NUDE 54-19-145 OVALADAS</t>
  </si>
  <si>
    <t>PALAZZO 2105 GRIS TRANSPARENTE</t>
  </si>
  <si>
    <t>PASTA  GRIS/TRANSPARENTE/ VARILLA METAL PLATEADA ROSA DO 52-18-141 AGATADA</t>
  </si>
  <si>
    <t xml:space="preserve">KEIKO  FG1055 GRIS AZULADO </t>
  </si>
  <si>
    <t>PASTA  GRIS AZULADO/ VARILLAS METAL/SOBRE LENTE 57-16-145 CUADRADA</t>
  </si>
  <si>
    <t>KEIKO  RY2267  PLATEADO</t>
  </si>
  <si>
    <t>METAL PLATEADO DETALLES EN NEGRO/ VARILLAS PLATEADAS NEGRA 54-17-140 CUDRADA</t>
  </si>
  <si>
    <t>KEIKO  YG 21008  MARRON</t>
  </si>
  <si>
    <t>PASTA MARRON/ ANIMAL PRINT/ VARIILAS ANIMAL PRINT,GRIS LILAA 54-17-145 CUADRADA</t>
  </si>
  <si>
    <t>KEIKO  G5367  NEGRA</t>
  </si>
  <si>
    <t>PASTA NEGRA/ AMIMAL PRINT / TRANSPARENTE / VARILLAS  METAL DORADAS , ANIMAL PRINT 53-18-143 CUADRADA SOBRE LENTES SEMI CUADRADA</t>
  </si>
  <si>
    <t>KEIKO  M2518 TRANSPARENTE</t>
  </si>
  <si>
    <t>PASTA TRANSPARENTE /VARIILAS PEQUEÑO DETALLE BLANCO 53-18-145 CUADRADA</t>
  </si>
  <si>
    <t>KEIKO  RTA 2702 TRANSPARENTE MARRON</t>
  </si>
  <si>
    <t>PASTA MARRON/ VERDE AZULADO 55-17-145 REDONDA</t>
  </si>
  <si>
    <t xml:space="preserve">KEIKO  XF6033 LILA /TRANSPARENTE </t>
  </si>
  <si>
    <t>PASTA LILA /METAL PLATEADO /ANIMAL PRIN VERDE,NEGRO BLANCO/VARILLAS METAL ROSADO 52-15-140  OVALADAS</t>
  </si>
  <si>
    <t>KEIKO  RY22667  AZUL</t>
  </si>
  <si>
    <t>METAL AZUL REY/ VARILLAS AZUL 54-17-140 CUADRADA</t>
  </si>
  <si>
    <t>PALAZZO IP 1035 53-18-140  MARRON</t>
  </si>
  <si>
    <t>PASTA MARRON/ TRANSPARENTE/ VARILLAS ACETATO 53-18-140</t>
  </si>
  <si>
    <t>ALPI 4824 MARRON</t>
  </si>
  <si>
    <t>METAL  AL AIRE /VARILLA MARRON 54-17-138 CUADRADA</t>
  </si>
  <si>
    <t>DESSERS DEP 6604B NEGRA GRIS</t>
  </si>
  <si>
    <t>PASTA ARO COMPLETO NEGRA/VARILLAS GRIS 49-14-145 CUADRADA</t>
  </si>
  <si>
    <t>DESSERS DEP 6605B TRASPARENTE GRIS</t>
  </si>
  <si>
    <t>PASTA TRANSPARENTE /VARIILAS NEGRAS GRIS 50-14-145 CUADRADA</t>
  </si>
  <si>
    <t>DESSERS DEP 6602B AZUL NEGRO</t>
  </si>
  <si>
    <t>PASTA AZUL /VARILLAS AZUL REY NEGRO 55-18-145 CUADRADA</t>
  </si>
  <si>
    <t>SWIPE</t>
  </si>
  <si>
    <t>SWIPE  SWI8104  NEGRO ROJO</t>
  </si>
  <si>
    <t>PASTA NEGRA /VARILLAS NEGRA ROJA 52-17-138 CUADRADA</t>
  </si>
  <si>
    <t>SWIPE  SWI8104  MARRON</t>
  </si>
  <si>
    <t>PASTA MARRON /VARILLAS MARRON CLARO OSCURO 52-17-138 CUADRADA</t>
  </si>
  <si>
    <t xml:space="preserve">GLAM </t>
  </si>
  <si>
    <t>GLAM 82151 C8 ROSA VIEJA</t>
  </si>
  <si>
    <t>META ARO COMPLETO</t>
  </si>
  <si>
    <t>METAL  LILA/ VARILLAS ESCARCHADAS TRANSPARENCIA 56-18-143  SEMI CUADRADA</t>
  </si>
  <si>
    <t>GLAM 82036 C4 NUDE</t>
  </si>
  <si>
    <t>METAL NUDE/VARILLAS BRONCE DORADAS  55-19-146  SEMI CUADRADA</t>
  </si>
  <si>
    <t>GLAM TR P5219 C4 TRANSPARENTE</t>
  </si>
  <si>
    <t>PASTA TRANSPARENTE NUDE AZUL/VARILLAS NUDE 55-20-148 SEMI CUADRADA</t>
  </si>
  <si>
    <t>TR90 81037 ROSADA</t>
  </si>
  <si>
    <t>PASTA ROSADA, TRANSPARENTE/VARILLAS  ROSADA DORADA 54-17-145 SEMI CUADRADA</t>
  </si>
  <si>
    <t xml:space="preserve">KEIKO 27007 MORADA </t>
  </si>
  <si>
    <t>PASTA MORADO BERENJENA MATE/ VARILLAMORADA ,GUAYABA  47-17-135 CUADRADAS</t>
  </si>
  <si>
    <t xml:space="preserve">KEIKO </t>
  </si>
  <si>
    <t>KEIKO  DB 1732 VERDE AZULADO</t>
  </si>
  <si>
    <t>PASTA RAYAS MARRON ,BEIGE /VARILLAS VERDE AZULADO 47-16-130 CUADRADA</t>
  </si>
  <si>
    <t>ZAFRA</t>
  </si>
  <si>
    <t>ZAFRA 81092  GRIS  TRANSPARENTE</t>
  </si>
  <si>
    <t>METAL DORADO, RIS TRANSPARENTE/ VARILAS DORADAS GRIS TRANSPRENTE 53-19-143 CUADRADA</t>
  </si>
  <si>
    <t>VERTICAL</t>
  </si>
  <si>
    <t>VERTICAL SP0859  GRIS TRANSPARENTE</t>
  </si>
  <si>
    <t>PASTA  GRIS TRANSPARENTE 56-20 TIRANTES</t>
  </si>
  <si>
    <t>DEPORTIVA</t>
  </si>
  <si>
    <t>SWIPE  SWI 8104 MARRON</t>
  </si>
  <si>
    <t>PASTA MARRON MATE 52-17-138 CUADRADA</t>
  </si>
  <si>
    <t>SWIPE  SWI 8104 AZUL</t>
  </si>
  <si>
    <t>PASTA AZUL MATE /VARILLAS AZUL REY ,AZUL OSCURO MATE 52-17-138 CUADRADA</t>
  </si>
  <si>
    <t>SWIPE SWI  8104 NEGRA</t>
  </si>
  <si>
    <t>PASTA  NEGRA MATE / VARILLAS NEGRA,GRIS 52-17-138 CUADRADA</t>
  </si>
  <si>
    <t xml:space="preserve">WIILDAR </t>
  </si>
  <si>
    <t xml:space="preserve">WILDAR  WIL7207 NEGRA/AZUL </t>
  </si>
  <si>
    <t>PASTA NEGRA/ AZUL  REY / VARILLA NEGRA ,AZUL 54-17-141 CUADRADA</t>
  </si>
  <si>
    <t>RAY BAM</t>
  </si>
  <si>
    <t>RAY BAM TR90 9898 AZUL</t>
  </si>
  <si>
    <t>PASTA NEGRA ,AZUL /VARILLAS  NEGRAS 53-19-137</t>
  </si>
  <si>
    <t xml:space="preserve">TR90 81037 ROSASA </t>
  </si>
  <si>
    <t>PASRA  ROSADA  SOBRE LENTE /VARILLAS  ROSADA  54-17-145 SEMI CUADRADA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</si>
</sst>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Bs&quot;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indexed="8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9"/>
        <bgColor auto="1"/>
      </patternFill>
    </fill>
  </fills>
  <borders count="1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11"/>
      </left>
      <right style="thin">
        <color indexed="12"/>
      </right>
      <top style="thin">
        <color indexed="11"/>
      </top>
      <bottom style="thin">
        <color indexed="11"/>
      </bottom>
      <diagonal/>
    </border>
    <border>
      <left style="thin">
        <color indexed="12"/>
      </left>
      <right style="thin">
        <color indexed="12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1"/>
      </top>
      <bottom style="thin">
        <color indexed="1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1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1"/>
      </left>
      <right style="thin">
        <color indexed="12"/>
      </right>
      <top/>
      <bottom style="thin">
        <color indexed="1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0" fillId="0" borderId="1" xfId="0" applyFont="1" applyBorder="1" applyAlignment="1">
      <alignment wrapText="1"/>
    </xf>
    <xf numFmtId="0" fontId="0" fillId="0" borderId="2" xfId="0" applyFont="1" applyBorder="1" applyAlignment="1">
      <alignment wrapText="1"/>
    </xf>
    <xf numFmtId="0" fontId="0" fillId="0" borderId="3" xfId="0" applyFont="1" applyBorder="1" applyAlignment="1">
      <alignment wrapText="1"/>
    </xf>
    <xf numFmtId="0" fontId="0" fillId="0" borderId="4" xfId="0" applyFont="1" applyBorder="1" applyAlignment="1">
      <alignment wrapText="1"/>
    </xf>
    <xf numFmtId="164" fontId="0" fillId="0" borderId="2" xfId="0" applyNumberFormat="1" applyFont="1" applyBorder="1" applyAlignment="1">
      <alignment wrapText="1"/>
    </xf>
    <xf numFmtId="164" fontId="0" fillId="0" borderId="4" xfId="0" applyNumberFormat="1" applyFont="1" applyBorder="1" applyAlignment="1">
      <alignment wrapText="1"/>
    </xf>
    <xf numFmtId="49" fontId="0" fillId="0" borderId="2" xfId="0" applyNumberFormat="1" applyFont="1" applyBorder="1" applyAlignment="1">
      <alignment wrapText="1"/>
    </xf>
    <xf numFmtId="49" fontId="0" fillId="0" borderId="4" xfId="0" applyNumberFormat="1" applyFont="1" applyBorder="1" applyAlignment="1">
      <alignment wrapText="1"/>
    </xf>
    <xf numFmtId="4" fontId="0" fillId="0" borderId="2" xfId="0" applyNumberFormat="1" applyFont="1" applyBorder="1" applyAlignment="1" applyProtection="1">
      <alignment wrapText="1"/>
    </xf>
    <xf numFmtId="0" fontId="0" fillId="0" borderId="2" xfId="0" applyFont="1" applyBorder="1" applyAlignment="1" applyProtection="1">
      <alignment wrapText="1"/>
    </xf>
    <xf numFmtId="2" fontId="0" fillId="0" borderId="5" xfId="0" applyNumberFormat="1" applyFont="1" applyBorder="1" applyAlignment="1" applyProtection="1">
      <alignment wrapText="1"/>
    </xf>
    <xf numFmtId="0" fontId="0" fillId="3" borderId="6" xfId="0" applyFont="1" applyFill="1" applyBorder="1" applyAlignment="1">
      <alignment wrapText="1"/>
    </xf>
    <xf numFmtId="0" fontId="0" fillId="3" borderId="7" xfId="0" applyFont="1" applyFill="1" applyBorder="1" applyAlignment="1">
      <alignment wrapText="1"/>
    </xf>
    <xf numFmtId="0" fontId="0" fillId="3" borderId="7" xfId="0" applyNumberFormat="1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49" fontId="0" fillId="3" borderId="7" xfId="0" applyNumberFormat="1" applyFont="1" applyFill="1" applyBorder="1" applyAlignment="1">
      <alignment wrapText="1"/>
    </xf>
    <xf numFmtId="4" fontId="0" fillId="3" borderId="8" xfId="0" applyNumberFormat="1" applyFont="1" applyFill="1" applyBorder="1" applyAlignment="1"/>
    <xf numFmtId="0" fontId="0" fillId="3" borderId="9" xfId="0" applyFont="1" applyFill="1" applyBorder="1" applyAlignment="1">
      <alignment wrapText="1"/>
    </xf>
    <xf numFmtId="0" fontId="0" fillId="0" borderId="10" xfId="0" applyBorder="1" applyAlignment="1">
      <alignment vertical="center" wrapText="1"/>
    </xf>
    <xf numFmtId="0" fontId="0" fillId="3" borderId="7" xfId="0" applyFont="1" applyFill="1" applyBorder="1" applyAlignment="1">
      <alignment vertical="center" wrapText="1"/>
    </xf>
    <xf numFmtId="0" fontId="0" fillId="0" borderId="10" xfId="0" applyBorder="1" applyAlignment="1">
      <alignment wrapText="1"/>
    </xf>
    <xf numFmtId="0" fontId="0" fillId="3" borderId="0" xfId="0" applyFont="1" applyFill="1" applyBorder="1" applyAlignment="1">
      <alignment wrapText="1"/>
    </xf>
    <xf numFmtId="0" fontId="0" fillId="3" borderId="1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0" fontId="0" fillId="0" borderId="10" xfId="0" applyBorder="1"/>
    <xf numFmtId="0" fontId="0" fillId="0" borderId="12" xfId="0" applyBorder="1"/>
    <xf numFmtId="0" fontId="3" fillId="3" borderId="6" xfId="0" applyFont="1" applyFill="1" applyBorder="1" applyAlignment="1">
      <alignment wrapText="1"/>
    </xf>
    <xf numFmtId="0" fontId="3" fillId="3" borderId="9" xfId="0" applyFont="1" applyFill="1" applyBorder="1" applyAlignment="1">
      <alignment wrapText="1"/>
    </xf>
    <xf numFmtId="0" fontId="3" fillId="3" borderId="7" xfId="0" applyFont="1" applyFill="1" applyBorder="1" applyAlignment="1">
      <alignment wrapText="1"/>
    </xf>
    <xf numFmtId="49" fontId="0" fillId="3" borderId="6" xfId="0" applyNumberFormat="1" applyFont="1" applyFill="1" applyBorder="1" applyAlignment="1">
      <alignment wrapText="1"/>
    </xf>
    <xf numFmtId="49" fontId="0" fillId="3" borderId="9" xfId="0" applyNumberFormat="1" applyFont="1" applyFill="1" applyBorder="1" applyAlignment="1">
      <alignment wrapText="1"/>
    </xf>
    <xf numFmtId="49" fontId="3" fillId="3" borderId="6" xfId="0" applyNumberFormat="1" applyFont="1" applyFill="1" applyBorder="1" applyAlignment="1">
      <alignment wrapText="1"/>
    </xf>
    <xf numFmtId="49" fontId="3" fillId="3" borderId="9" xfId="0" applyNumberFormat="1" applyFont="1" applyFill="1" applyBorder="1" applyAlignment="1">
      <alignment wrapText="1"/>
    </xf>
    <xf numFmtId="49" fontId="3" fillId="3" borderId="7" xfId="0" applyNumberFormat="1" applyFont="1" applyFill="1" applyBorder="1" applyAlignment="1">
      <alignment wrapText="1"/>
    </xf>
    <xf numFmtId="2" fontId="0" fillId="3" borderId="13" xfId="0" applyNumberFormat="1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123825</xdr:rowOff>
        </xdr:from>
        <xdr:to>
          <xdr:col>16</xdr:col>
          <xdr:colOff>1905000</xdr:colOff>
          <xdr:row>2</xdr:row>
          <xdr:rowOff>438150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INFO_CARGA_MASIVA_MARCA" growShrinkType="overwriteClear" fillFormulas="1" removeDataOnSave="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INFO_CARGA_MASIVA_TIPO" refreshOnLoad="1" growShrinkType="overwriteClear" fillFormulas="1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INFO_CARGA_MASIVA_TIPO2" refreshOnLoad="1" growShrinkType="overwriteClear" fillFormulas="1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INFO_CARGA_MASIVA_TIPO3" refreshOnLoad="1" growShrinkType="overwriteClear" fillFormulas="1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NFO_CARGA_MASIVA_TIPO4" refreshOnLoad="1" growShrinkType="overwriteClear" fillFormulas="1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INFO_CARGA_MASIVA_PROVEEDOR" refreshOnLoad="1" growShrinkType="overwriteClear" fillFormulas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52"/>
  <sheetViews>
    <sheetView workbookViewId="0"/>
  </sheetViews>
  <sheetFormatPr baseColWidth="10" defaultRowHeight="15" x14ac:dyDescent="0.25"/>
  <cols>
    <col min="1" max="1" width="14.28515625" bestFit="1" customWidth="1"/>
  </cols>
  <sheetData>
    <row r="1" spans="1:1" x14ac:dyDescent="0.25">
      <c r="A1" t="s">
        <v>519</v>
      </c>
    </row>
    <row r="2" spans="1:1" x14ac:dyDescent="0.25">
      <c r="A2" t="s">
        <v>520</v>
      </c>
    </row>
    <row r="3" spans="1:1" x14ac:dyDescent="0.25">
      <c r="A3" t="s">
        <v>521</v>
      </c>
    </row>
    <row r="4" spans="1:1" x14ac:dyDescent="0.25">
      <c r="A4" t="s">
        <v>522</v>
      </c>
    </row>
    <row r="5" spans="1:1" x14ac:dyDescent="0.25">
      <c r="A5" t="s">
        <v>523</v>
      </c>
    </row>
    <row r="6" spans="1:1" x14ac:dyDescent="0.25">
      <c r="A6" t="s">
        <v>524</v>
      </c>
    </row>
    <row r="7" spans="1:1" x14ac:dyDescent="0.25">
      <c r="A7" t="s">
        <v>525</v>
      </c>
    </row>
    <row r="8" spans="1:1" x14ac:dyDescent="0.25">
      <c r="A8" t="s">
        <v>526</v>
      </c>
    </row>
    <row r="9" spans="1:1" x14ac:dyDescent="0.25">
      <c r="A9" t="s">
        <v>527</v>
      </c>
    </row>
    <row r="10" spans="1:1" x14ac:dyDescent="0.25">
      <c r="A10" t="s">
        <v>528</v>
      </c>
    </row>
    <row r="11" spans="1:1" x14ac:dyDescent="0.25">
      <c r="A11" t="s">
        <v>529</v>
      </c>
    </row>
    <row r="12" spans="1:1" x14ac:dyDescent="0.25">
      <c r="A12" t="s">
        <v>530</v>
      </c>
    </row>
    <row r="13" spans="1:1" x14ac:dyDescent="0.25">
      <c r="A13" t="s">
        <v>531</v>
      </c>
    </row>
    <row r="14" spans="1:1" x14ac:dyDescent="0.25">
      <c r="A14" t="s">
        <v>532</v>
      </c>
    </row>
    <row r="15" spans="1:1" x14ac:dyDescent="0.25">
      <c r="A15" t="s">
        <v>533</v>
      </c>
    </row>
    <row r="16" spans="1:1" x14ac:dyDescent="0.25">
      <c r="A16" t="s">
        <v>534</v>
      </c>
    </row>
    <row r="17" spans="1:1" x14ac:dyDescent="0.25">
      <c r="A17" t="s">
        <v>535</v>
      </c>
    </row>
    <row r="18" spans="1:1" x14ac:dyDescent="0.25">
      <c r="A18" t="s">
        <v>536</v>
      </c>
    </row>
    <row r="19" spans="1:1" x14ac:dyDescent="0.25">
      <c r="A19" t="s">
        <v>537</v>
      </c>
    </row>
    <row r="20" spans="1:1" x14ac:dyDescent="0.25">
      <c r="A20" t="s">
        <v>538</v>
      </c>
    </row>
    <row r="21" spans="1:1" x14ac:dyDescent="0.25">
      <c r="A21" t="s">
        <v>539</v>
      </c>
    </row>
    <row r="22" spans="1:1" x14ac:dyDescent="0.25">
      <c r="A22" t="s">
        <v>540</v>
      </c>
    </row>
    <row r="23" spans="1:1" x14ac:dyDescent="0.25">
      <c r="A23" t="s">
        <v>541</v>
      </c>
    </row>
    <row r="24" spans="1:1" x14ac:dyDescent="0.25">
      <c r="A24" t="s">
        <v>542</v>
      </c>
    </row>
    <row r="25" spans="1:1" x14ac:dyDescent="0.25">
      <c r="A25" t="s">
        <v>543</v>
      </c>
    </row>
    <row r="26" spans="1:1" x14ac:dyDescent="0.25">
      <c r="A26" t="s">
        <v>544</v>
      </c>
    </row>
    <row r="27" spans="1:1" x14ac:dyDescent="0.25">
      <c r="A27" t="s">
        <v>545</v>
      </c>
    </row>
    <row r="28" spans="1:1" x14ac:dyDescent="0.25">
      <c r="A28" t="s">
        <v>546</v>
      </c>
    </row>
    <row r="29" spans="1:1" x14ac:dyDescent="0.25">
      <c r="A29" t="s">
        <v>547</v>
      </c>
    </row>
    <row r="30" spans="1:1" x14ac:dyDescent="0.25">
      <c r="A30" t="s">
        <v>548</v>
      </c>
    </row>
    <row r="31" spans="1:1" x14ac:dyDescent="0.25">
      <c r="A31" t="s">
        <v>549</v>
      </c>
    </row>
    <row r="32" spans="1:1" x14ac:dyDescent="0.25">
      <c r="A32" t="s">
        <v>550</v>
      </c>
    </row>
    <row r="33" spans="1:1" x14ac:dyDescent="0.25">
      <c r="A33" t="s">
        <v>551</v>
      </c>
    </row>
    <row r="34" spans="1:1" x14ac:dyDescent="0.25">
      <c r="A34" t="s">
        <v>552</v>
      </c>
    </row>
    <row r="35" spans="1:1" x14ac:dyDescent="0.25">
      <c r="A35" t="s">
        <v>553</v>
      </c>
    </row>
    <row r="36" spans="1:1" x14ac:dyDescent="0.25">
      <c r="A36" t="s">
        <v>554</v>
      </c>
    </row>
    <row r="37" spans="1:1" x14ac:dyDescent="0.25">
      <c r="A37" t="s">
        <v>555</v>
      </c>
    </row>
    <row r="38" spans="1:1" x14ac:dyDescent="0.25">
      <c r="A38" t="s">
        <v>556</v>
      </c>
    </row>
    <row r="39" spans="1:1" x14ac:dyDescent="0.25">
      <c r="A39" t="s">
        <v>557</v>
      </c>
    </row>
    <row r="40" spans="1:1" x14ac:dyDescent="0.25">
      <c r="A40" t="s">
        <v>558</v>
      </c>
    </row>
    <row r="41" spans="1:1" x14ac:dyDescent="0.25">
      <c r="A41" t="s">
        <v>559</v>
      </c>
    </row>
    <row r="42" spans="1:1" x14ac:dyDescent="0.25">
      <c r="A42" t="s">
        <v>560</v>
      </c>
    </row>
    <row r="43" spans="1:1" x14ac:dyDescent="0.25">
      <c r="A43" t="s">
        <v>561</v>
      </c>
    </row>
    <row r="44" spans="1:1" x14ac:dyDescent="0.25">
      <c r="A44" t="s">
        <v>562</v>
      </c>
    </row>
    <row r="45" spans="1:1" x14ac:dyDescent="0.25">
      <c r="A45" t="s">
        <v>563</v>
      </c>
    </row>
    <row r="46" spans="1:1" x14ac:dyDescent="0.25">
      <c r="A46" t="s">
        <v>564</v>
      </c>
    </row>
    <row r="47" spans="1:1" x14ac:dyDescent="0.25">
      <c r="A47" t="s">
        <v>565</v>
      </c>
    </row>
    <row r="48" spans="1:1" x14ac:dyDescent="0.25">
      <c r="A48" t="s">
        <v>566</v>
      </c>
    </row>
    <row r="49" spans="1:1" x14ac:dyDescent="0.25">
      <c r="A49" t="s">
        <v>567</v>
      </c>
    </row>
    <row r="50" spans="1:1" x14ac:dyDescent="0.25">
      <c r="A50" t="s">
        <v>568</v>
      </c>
    </row>
    <row r="51" spans="1:1" x14ac:dyDescent="0.25">
      <c r="A51" t="s">
        <v>569</v>
      </c>
    </row>
    <row r="52" spans="1:1" x14ac:dyDescent="0.25">
      <c r="A52" t="s">
        <v>570</v>
      </c>
    </row>
  </sheetData>
  <sheetProtection selectLockedCells="1" selectUn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C8" sqref="C8"/>
    </sheetView>
  </sheetViews>
  <sheetFormatPr baseColWidth="10" defaultRowHeight="15" x14ac:dyDescent="0.25"/>
  <cols>
    <col min="1" max="1" width="11.42578125" customWidth="1"/>
  </cols>
  <sheetData>
    <row r="1" spans="1:1" x14ac:dyDescent="0.25">
      <c r="A1" t="s">
        <v>571</v>
      </c>
    </row>
  </sheetData>
  <sheetProtection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7"/>
  <sheetViews>
    <sheetView workbookViewId="0">
      <selection activeCell="D17" sqref="D17"/>
    </sheetView>
  </sheetViews>
  <sheetFormatPr baseColWidth="10" defaultRowHeight="15" x14ac:dyDescent="0.25"/>
  <cols>
    <col min="1" max="1" width="17.5703125" customWidth="1"/>
  </cols>
  <sheetData>
    <row r="2" spans="1:1" x14ac:dyDescent="0.25">
      <c r="A2" t="s">
        <v>572</v>
      </c>
    </row>
    <row r="3" spans="1:1" x14ac:dyDescent="0.25">
      <c r="A3" t="s">
        <v>573</v>
      </c>
    </row>
    <row r="4" spans="1:1" x14ac:dyDescent="0.25">
      <c r="A4" t="s">
        <v>574</v>
      </c>
    </row>
    <row r="5" spans="1:1" x14ac:dyDescent="0.25">
      <c r="A5" t="s">
        <v>575</v>
      </c>
    </row>
    <row r="6" spans="1:1" x14ac:dyDescent="0.25">
      <c r="A6" t="s">
        <v>576</v>
      </c>
    </row>
    <row r="7" spans="1:1" x14ac:dyDescent="0.25">
      <c r="A7" t="s">
        <v>577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A46"/>
  <sheetViews>
    <sheetView workbookViewId="0">
      <selection activeCell="D17" sqref="D17"/>
    </sheetView>
  </sheetViews>
  <sheetFormatPr baseColWidth="10" defaultRowHeight="15" x14ac:dyDescent="0.25"/>
  <cols>
    <col min="1" max="1" width="29.5703125" bestFit="1" customWidth="1"/>
  </cols>
  <sheetData>
    <row r="3" spans="1:1" x14ac:dyDescent="0.25">
      <c r="A3" t="s">
        <v>46</v>
      </c>
    </row>
    <row r="4" spans="1:1" x14ac:dyDescent="0.25">
      <c r="A4" t="s">
        <v>38</v>
      </c>
    </row>
    <row r="5" spans="1:1" x14ac:dyDescent="0.25">
      <c r="A5" t="s">
        <v>23</v>
      </c>
    </row>
    <row r="6" spans="1:1" x14ac:dyDescent="0.25">
      <c r="A6" t="s">
        <v>42</v>
      </c>
    </row>
    <row r="7" spans="1:1" x14ac:dyDescent="0.25">
      <c r="A7" t="s">
        <v>36</v>
      </c>
    </row>
    <row r="8" spans="1:1" x14ac:dyDescent="0.25">
      <c r="A8" t="s">
        <v>47</v>
      </c>
    </row>
    <row r="9" spans="1:1" x14ac:dyDescent="0.25">
      <c r="A9" t="s">
        <v>45</v>
      </c>
    </row>
    <row r="10" spans="1:1" x14ac:dyDescent="0.25">
      <c r="A10" t="s">
        <v>24</v>
      </c>
    </row>
    <row r="11" spans="1:1" x14ac:dyDescent="0.25">
      <c r="A11" t="s">
        <v>15</v>
      </c>
    </row>
    <row r="12" spans="1:1" x14ac:dyDescent="0.25">
      <c r="A12" t="s">
        <v>27</v>
      </c>
    </row>
    <row r="13" spans="1:1" x14ac:dyDescent="0.25">
      <c r="A13" t="s">
        <v>49</v>
      </c>
    </row>
    <row r="14" spans="1:1" x14ac:dyDescent="0.25">
      <c r="A14" t="s">
        <v>16</v>
      </c>
    </row>
    <row r="15" spans="1:1" x14ac:dyDescent="0.25">
      <c r="A15" t="s">
        <v>10</v>
      </c>
    </row>
    <row r="16" spans="1:1" x14ac:dyDescent="0.25">
      <c r="A16" t="s">
        <v>12</v>
      </c>
    </row>
    <row r="17" spans="1:1" x14ac:dyDescent="0.25">
      <c r="A17" t="s">
        <v>32</v>
      </c>
    </row>
    <row r="18" spans="1:1" x14ac:dyDescent="0.25">
      <c r="A18" t="s">
        <v>43</v>
      </c>
    </row>
    <row r="19" spans="1:1" x14ac:dyDescent="0.25">
      <c r="A19" t="s">
        <v>35</v>
      </c>
    </row>
    <row r="20" spans="1:1" x14ac:dyDescent="0.25">
      <c r="A20" t="s">
        <v>39</v>
      </c>
    </row>
    <row r="21" spans="1:1" x14ac:dyDescent="0.25">
      <c r="A21" t="s">
        <v>26</v>
      </c>
    </row>
    <row r="22" spans="1:1" x14ac:dyDescent="0.25">
      <c r="A22" t="s">
        <v>25</v>
      </c>
    </row>
    <row r="23" spans="1:1" x14ac:dyDescent="0.25">
      <c r="A23" t="s">
        <v>41</v>
      </c>
    </row>
    <row r="24" spans="1:1" x14ac:dyDescent="0.25">
      <c r="A24" t="s">
        <v>44</v>
      </c>
    </row>
    <row r="25" spans="1:1" x14ac:dyDescent="0.25">
      <c r="A25" t="s">
        <v>9</v>
      </c>
    </row>
    <row r="26" spans="1:1" x14ac:dyDescent="0.25">
      <c r="A26" t="s">
        <v>20</v>
      </c>
    </row>
    <row r="27" spans="1:1" x14ac:dyDescent="0.25">
      <c r="A27" t="s">
        <v>19</v>
      </c>
    </row>
    <row r="28" spans="1:1" x14ac:dyDescent="0.25">
      <c r="A28" t="s">
        <v>48</v>
      </c>
    </row>
    <row r="29" spans="1:1" x14ac:dyDescent="0.25">
      <c r="A29" t="s">
        <v>30</v>
      </c>
    </row>
    <row r="30" spans="1:1" x14ac:dyDescent="0.25">
      <c r="A30" t="s">
        <v>17</v>
      </c>
    </row>
    <row r="31" spans="1:1" x14ac:dyDescent="0.25">
      <c r="A31" t="s">
        <v>29</v>
      </c>
    </row>
    <row r="32" spans="1:1" x14ac:dyDescent="0.25">
      <c r="A32" t="s">
        <v>11</v>
      </c>
    </row>
    <row r="33" spans="1:1" x14ac:dyDescent="0.25">
      <c r="A33" t="s">
        <v>8</v>
      </c>
    </row>
    <row r="34" spans="1:1" x14ac:dyDescent="0.25">
      <c r="A34" t="s">
        <v>5</v>
      </c>
    </row>
    <row r="35" spans="1:1" x14ac:dyDescent="0.25">
      <c r="A35" t="s">
        <v>33</v>
      </c>
    </row>
    <row r="36" spans="1:1" x14ac:dyDescent="0.25">
      <c r="A36" t="s">
        <v>21</v>
      </c>
    </row>
    <row r="37" spans="1:1" x14ac:dyDescent="0.25">
      <c r="A37" t="s">
        <v>18</v>
      </c>
    </row>
    <row r="38" spans="1:1" x14ac:dyDescent="0.25">
      <c r="A38" t="s">
        <v>28</v>
      </c>
    </row>
    <row r="39" spans="1:1" x14ac:dyDescent="0.25">
      <c r="A39" t="s">
        <v>22</v>
      </c>
    </row>
    <row r="40" spans="1:1" x14ac:dyDescent="0.25">
      <c r="A40" t="s">
        <v>13</v>
      </c>
    </row>
    <row r="41" spans="1:1" x14ac:dyDescent="0.25">
      <c r="A41" t="s">
        <v>40</v>
      </c>
    </row>
    <row r="42" spans="1:1" x14ac:dyDescent="0.25">
      <c r="A42" t="s">
        <v>14</v>
      </c>
    </row>
    <row r="43" spans="1:1" x14ac:dyDescent="0.25">
      <c r="A43" t="s">
        <v>31</v>
      </c>
    </row>
    <row r="44" spans="1:1" x14ac:dyDescent="0.25">
      <c r="A44" t="s">
        <v>37</v>
      </c>
    </row>
    <row r="45" spans="1:1" x14ac:dyDescent="0.25">
      <c r="A45" t="s">
        <v>34</v>
      </c>
    </row>
    <row r="46" spans="1:1" x14ac:dyDescent="0.25">
      <c r="A46" t="s">
        <v>6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3:A460"/>
  <sheetViews>
    <sheetView workbookViewId="0">
      <selection activeCell="D17" sqref="D17"/>
    </sheetView>
  </sheetViews>
  <sheetFormatPr baseColWidth="10" defaultRowHeight="15" x14ac:dyDescent="0.25"/>
  <cols>
    <col min="1" max="1" width="51" bestFit="1" customWidth="1"/>
  </cols>
  <sheetData>
    <row r="3" spans="1:1" x14ac:dyDescent="0.25">
      <c r="A3" t="s">
        <v>50</v>
      </c>
    </row>
    <row r="4" spans="1:1" x14ac:dyDescent="0.25">
      <c r="A4" t="s">
        <v>51</v>
      </c>
    </row>
    <row r="5" spans="1:1" x14ac:dyDescent="0.25">
      <c r="A5" t="s">
        <v>52</v>
      </c>
    </row>
    <row r="6" spans="1:1" x14ac:dyDescent="0.25">
      <c r="A6" t="s">
        <v>53</v>
      </c>
    </row>
    <row r="7" spans="1:1" x14ac:dyDescent="0.25">
      <c r="A7" t="s">
        <v>54</v>
      </c>
    </row>
    <row r="8" spans="1:1" x14ac:dyDescent="0.25">
      <c r="A8" t="s">
        <v>55</v>
      </c>
    </row>
    <row r="9" spans="1:1" x14ac:dyDescent="0.25">
      <c r="A9" t="s">
        <v>56</v>
      </c>
    </row>
    <row r="10" spans="1:1" x14ac:dyDescent="0.25">
      <c r="A10" t="s">
        <v>57</v>
      </c>
    </row>
    <row r="11" spans="1:1" x14ac:dyDescent="0.25">
      <c r="A11" t="s">
        <v>58</v>
      </c>
    </row>
    <row r="12" spans="1:1" x14ac:dyDescent="0.25">
      <c r="A12" t="s">
        <v>59</v>
      </c>
    </row>
    <row r="13" spans="1:1" x14ac:dyDescent="0.25">
      <c r="A13" t="s">
        <v>60</v>
      </c>
    </row>
    <row r="14" spans="1:1" x14ac:dyDescent="0.25">
      <c r="A14" t="s">
        <v>61</v>
      </c>
    </row>
    <row r="15" spans="1:1" x14ac:dyDescent="0.25">
      <c r="A15" t="s">
        <v>62</v>
      </c>
    </row>
    <row r="16" spans="1:1" x14ac:dyDescent="0.25">
      <c r="A16" t="s">
        <v>63</v>
      </c>
    </row>
    <row r="17" spans="1:1" x14ac:dyDescent="0.25">
      <c r="A17" t="s">
        <v>64</v>
      </c>
    </row>
    <row r="18" spans="1:1" x14ac:dyDescent="0.25">
      <c r="A18" t="s">
        <v>65</v>
      </c>
    </row>
    <row r="19" spans="1:1" x14ac:dyDescent="0.25">
      <c r="A19" t="s">
        <v>66</v>
      </c>
    </row>
    <row r="20" spans="1:1" x14ac:dyDescent="0.25">
      <c r="A20" t="s">
        <v>67</v>
      </c>
    </row>
    <row r="21" spans="1:1" x14ac:dyDescent="0.25">
      <c r="A21" t="s">
        <v>68</v>
      </c>
    </row>
    <row r="22" spans="1:1" x14ac:dyDescent="0.25">
      <c r="A22" t="s">
        <v>69</v>
      </c>
    </row>
    <row r="23" spans="1:1" x14ac:dyDescent="0.25">
      <c r="A23" t="s">
        <v>70</v>
      </c>
    </row>
    <row r="24" spans="1:1" x14ac:dyDescent="0.25">
      <c r="A24" t="s">
        <v>71</v>
      </c>
    </row>
    <row r="25" spans="1:1" x14ac:dyDescent="0.25">
      <c r="A25" t="s">
        <v>72</v>
      </c>
    </row>
    <row r="26" spans="1:1" x14ac:dyDescent="0.25">
      <c r="A26" t="s">
        <v>73</v>
      </c>
    </row>
    <row r="27" spans="1:1" x14ac:dyDescent="0.25">
      <c r="A27" t="s">
        <v>74</v>
      </c>
    </row>
    <row r="28" spans="1:1" x14ac:dyDescent="0.25">
      <c r="A28" t="s">
        <v>75</v>
      </c>
    </row>
    <row r="29" spans="1:1" x14ac:dyDescent="0.25">
      <c r="A29" t="s">
        <v>76</v>
      </c>
    </row>
    <row r="30" spans="1:1" x14ac:dyDescent="0.25">
      <c r="A30" t="s">
        <v>77</v>
      </c>
    </row>
    <row r="31" spans="1:1" x14ac:dyDescent="0.25">
      <c r="A31" t="s">
        <v>78</v>
      </c>
    </row>
    <row r="32" spans="1:1" x14ac:dyDescent="0.25">
      <c r="A32" t="s">
        <v>79</v>
      </c>
    </row>
    <row r="33" spans="1:1" x14ac:dyDescent="0.25">
      <c r="A33" t="s">
        <v>80</v>
      </c>
    </row>
    <row r="34" spans="1:1" x14ac:dyDescent="0.25">
      <c r="A34" t="s">
        <v>81</v>
      </c>
    </row>
    <row r="35" spans="1:1" x14ac:dyDescent="0.25">
      <c r="A35" t="s">
        <v>82</v>
      </c>
    </row>
    <row r="36" spans="1:1" x14ac:dyDescent="0.25">
      <c r="A36" t="s">
        <v>7</v>
      </c>
    </row>
    <row r="37" spans="1:1" x14ac:dyDescent="0.25">
      <c r="A37" t="s">
        <v>83</v>
      </c>
    </row>
    <row r="38" spans="1:1" x14ac:dyDescent="0.25">
      <c r="A38" t="s">
        <v>84</v>
      </c>
    </row>
    <row r="39" spans="1:1" x14ac:dyDescent="0.25">
      <c r="A39" t="s">
        <v>85</v>
      </c>
    </row>
    <row r="40" spans="1:1" x14ac:dyDescent="0.25">
      <c r="A40" t="s">
        <v>86</v>
      </c>
    </row>
    <row r="41" spans="1:1" x14ac:dyDescent="0.25">
      <c r="A41" t="s">
        <v>87</v>
      </c>
    </row>
    <row r="42" spans="1:1" x14ac:dyDescent="0.25">
      <c r="A42" t="s">
        <v>88</v>
      </c>
    </row>
    <row r="43" spans="1:1" x14ac:dyDescent="0.25">
      <c r="A43" t="s">
        <v>89</v>
      </c>
    </row>
    <row r="44" spans="1:1" x14ac:dyDescent="0.25">
      <c r="A44" t="s">
        <v>90</v>
      </c>
    </row>
    <row r="45" spans="1:1" x14ac:dyDescent="0.25">
      <c r="A45" t="s">
        <v>91</v>
      </c>
    </row>
    <row r="46" spans="1:1" x14ac:dyDescent="0.25">
      <c r="A46" t="s">
        <v>92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1" x14ac:dyDescent="0.25">
      <c r="A49" t="s">
        <v>95</v>
      </c>
    </row>
    <row r="50" spans="1:1" x14ac:dyDescent="0.25">
      <c r="A50" t="s">
        <v>96</v>
      </c>
    </row>
    <row r="51" spans="1:1" x14ac:dyDescent="0.25">
      <c r="A51" t="s">
        <v>97</v>
      </c>
    </row>
    <row r="52" spans="1:1" x14ac:dyDescent="0.25">
      <c r="A52" t="s">
        <v>98</v>
      </c>
    </row>
    <row r="53" spans="1:1" x14ac:dyDescent="0.25">
      <c r="A53" t="s">
        <v>99</v>
      </c>
    </row>
    <row r="54" spans="1:1" x14ac:dyDescent="0.25">
      <c r="A54" t="s">
        <v>100</v>
      </c>
    </row>
    <row r="55" spans="1:1" x14ac:dyDescent="0.25">
      <c r="A55" t="s">
        <v>101</v>
      </c>
    </row>
    <row r="56" spans="1:1" x14ac:dyDescent="0.25">
      <c r="A56" t="s">
        <v>102</v>
      </c>
    </row>
    <row r="57" spans="1:1" x14ac:dyDescent="0.25">
      <c r="A57" t="s">
        <v>103</v>
      </c>
    </row>
    <row r="58" spans="1:1" x14ac:dyDescent="0.25">
      <c r="A58" t="s">
        <v>104</v>
      </c>
    </row>
    <row r="59" spans="1:1" x14ac:dyDescent="0.25">
      <c r="A59" t="s">
        <v>105</v>
      </c>
    </row>
    <row r="60" spans="1:1" x14ac:dyDescent="0.25">
      <c r="A60" t="s">
        <v>106</v>
      </c>
    </row>
    <row r="61" spans="1:1" x14ac:dyDescent="0.25">
      <c r="A61" t="s">
        <v>107</v>
      </c>
    </row>
    <row r="62" spans="1:1" x14ac:dyDescent="0.25">
      <c r="A62" t="s">
        <v>108</v>
      </c>
    </row>
    <row r="63" spans="1:1" x14ac:dyDescent="0.25">
      <c r="A63" t="s">
        <v>109</v>
      </c>
    </row>
    <row r="64" spans="1:1" x14ac:dyDescent="0.25">
      <c r="A64" t="s">
        <v>110</v>
      </c>
    </row>
    <row r="65" spans="1:1" x14ac:dyDescent="0.25">
      <c r="A65" t="s">
        <v>111</v>
      </c>
    </row>
    <row r="66" spans="1:1" x14ac:dyDescent="0.25">
      <c r="A66" t="s">
        <v>112</v>
      </c>
    </row>
    <row r="67" spans="1:1" x14ac:dyDescent="0.25">
      <c r="A67" t="s">
        <v>113</v>
      </c>
    </row>
    <row r="68" spans="1:1" x14ac:dyDescent="0.25">
      <c r="A68" t="s">
        <v>114</v>
      </c>
    </row>
    <row r="69" spans="1:1" x14ac:dyDescent="0.25">
      <c r="A69" t="s">
        <v>115</v>
      </c>
    </row>
    <row r="70" spans="1:1" x14ac:dyDescent="0.25">
      <c r="A70" t="s">
        <v>116</v>
      </c>
    </row>
    <row r="71" spans="1:1" x14ac:dyDescent="0.25">
      <c r="A71" t="s">
        <v>117</v>
      </c>
    </row>
    <row r="72" spans="1:1" x14ac:dyDescent="0.25">
      <c r="A72" t="s">
        <v>118</v>
      </c>
    </row>
    <row r="73" spans="1:1" x14ac:dyDescent="0.25">
      <c r="A73" t="s">
        <v>119</v>
      </c>
    </row>
    <row r="74" spans="1:1" x14ac:dyDescent="0.25">
      <c r="A74" t="s">
        <v>120</v>
      </c>
    </row>
    <row r="75" spans="1:1" x14ac:dyDescent="0.25">
      <c r="A75" t="s">
        <v>121</v>
      </c>
    </row>
    <row r="76" spans="1:1" x14ac:dyDescent="0.25">
      <c r="A76" t="s">
        <v>122</v>
      </c>
    </row>
    <row r="77" spans="1:1" x14ac:dyDescent="0.25">
      <c r="A77" t="s">
        <v>123</v>
      </c>
    </row>
    <row r="78" spans="1:1" x14ac:dyDescent="0.25">
      <c r="A78" t="s">
        <v>124</v>
      </c>
    </row>
    <row r="79" spans="1:1" x14ac:dyDescent="0.25">
      <c r="A79" t="s">
        <v>125</v>
      </c>
    </row>
    <row r="80" spans="1:1" x14ac:dyDescent="0.25">
      <c r="A80" t="s">
        <v>126</v>
      </c>
    </row>
    <row r="81" spans="1:1" x14ac:dyDescent="0.25">
      <c r="A81" t="s">
        <v>127</v>
      </c>
    </row>
    <row r="82" spans="1:1" x14ac:dyDescent="0.25">
      <c r="A82" t="s">
        <v>128</v>
      </c>
    </row>
    <row r="83" spans="1:1" x14ac:dyDescent="0.25">
      <c r="A83" t="s">
        <v>129</v>
      </c>
    </row>
    <row r="84" spans="1:1" x14ac:dyDescent="0.25">
      <c r="A84" t="s">
        <v>130</v>
      </c>
    </row>
    <row r="85" spans="1:1" x14ac:dyDescent="0.25">
      <c r="A85" t="s">
        <v>131</v>
      </c>
    </row>
    <row r="86" spans="1:1" x14ac:dyDescent="0.25">
      <c r="A86" t="s">
        <v>132</v>
      </c>
    </row>
    <row r="87" spans="1:1" x14ac:dyDescent="0.25">
      <c r="A87" t="s">
        <v>133</v>
      </c>
    </row>
    <row r="88" spans="1:1" x14ac:dyDescent="0.25">
      <c r="A88" t="s">
        <v>134</v>
      </c>
    </row>
    <row r="89" spans="1:1" x14ac:dyDescent="0.25">
      <c r="A89" t="s">
        <v>135</v>
      </c>
    </row>
    <row r="90" spans="1:1" x14ac:dyDescent="0.25">
      <c r="A90" t="s">
        <v>136</v>
      </c>
    </row>
    <row r="91" spans="1:1" x14ac:dyDescent="0.25">
      <c r="A91" t="s">
        <v>137</v>
      </c>
    </row>
    <row r="92" spans="1:1" x14ac:dyDescent="0.25">
      <c r="A92" t="s">
        <v>138</v>
      </c>
    </row>
    <row r="93" spans="1:1" x14ac:dyDescent="0.25">
      <c r="A93" t="s">
        <v>139</v>
      </c>
    </row>
    <row r="94" spans="1:1" x14ac:dyDescent="0.25">
      <c r="A94" t="s">
        <v>140</v>
      </c>
    </row>
    <row r="95" spans="1:1" x14ac:dyDescent="0.25">
      <c r="A95" t="s">
        <v>141</v>
      </c>
    </row>
    <row r="96" spans="1:1" x14ac:dyDescent="0.25">
      <c r="A96" t="s">
        <v>142</v>
      </c>
    </row>
    <row r="97" spans="1:1" x14ac:dyDescent="0.25">
      <c r="A97" t="s">
        <v>143</v>
      </c>
    </row>
    <row r="98" spans="1:1" x14ac:dyDescent="0.25">
      <c r="A98" t="s">
        <v>144</v>
      </c>
    </row>
    <row r="99" spans="1:1" x14ac:dyDescent="0.25">
      <c r="A99" t="s">
        <v>145</v>
      </c>
    </row>
    <row r="100" spans="1:1" x14ac:dyDescent="0.25">
      <c r="A100" t="s">
        <v>146</v>
      </c>
    </row>
    <row r="101" spans="1:1" x14ac:dyDescent="0.25">
      <c r="A101" t="s">
        <v>147</v>
      </c>
    </row>
    <row r="102" spans="1:1" x14ac:dyDescent="0.25">
      <c r="A102" t="s">
        <v>148</v>
      </c>
    </row>
    <row r="103" spans="1:1" x14ac:dyDescent="0.25">
      <c r="A103" t="s">
        <v>149</v>
      </c>
    </row>
    <row r="104" spans="1:1" x14ac:dyDescent="0.25">
      <c r="A104" t="s">
        <v>150</v>
      </c>
    </row>
    <row r="105" spans="1:1" x14ac:dyDescent="0.25">
      <c r="A105" t="s">
        <v>151</v>
      </c>
    </row>
    <row r="106" spans="1:1" x14ac:dyDescent="0.25">
      <c r="A106" t="s">
        <v>152</v>
      </c>
    </row>
    <row r="107" spans="1:1" x14ac:dyDescent="0.25">
      <c r="A107" t="s">
        <v>153</v>
      </c>
    </row>
    <row r="108" spans="1:1" x14ac:dyDescent="0.25">
      <c r="A108" t="s">
        <v>154</v>
      </c>
    </row>
    <row r="109" spans="1:1" x14ac:dyDescent="0.25">
      <c r="A109" t="s">
        <v>155</v>
      </c>
    </row>
    <row r="110" spans="1:1" x14ac:dyDescent="0.25">
      <c r="A110" t="s">
        <v>156</v>
      </c>
    </row>
    <row r="111" spans="1:1" x14ac:dyDescent="0.25">
      <c r="A111" t="s">
        <v>157</v>
      </c>
    </row>
    <row r="112" spans="1:1" x14ac:dyDescent="0.25">
      <c r="A112" t="s">
        <v>158</v>
      </c>
    </row>
    <row r="113" spans="1:1" x14ac:dyDescent="0.25">
      <c r="A113" t="s">
        <v>159</v>
      </c>
    </row>
    <row r="114" spans="1:1" x14ac:dyDescent="0.25">
      <c r="A114" t="s">
        <v>160</v>
      </c>
    </row>
    <row r="115" spans="1:1" x14ac:dyDescent="0.25">
      <c r="A115" t="s">
        <v>161</v>
      </c>
    </row>
    <row r="116" spans="1:1" x14ac:dyDescent="0.25">
      <c r="A116" t="s">
        <v>162</v>
      </c>
    </row>
    <row r="117" spans="1:1" x14ac:dyDescent="0.25">
      <c r="A117" t="s">
        <v>163</v>
      </c>
    </row>
    <row r="118" spans="1:1" x14ac:dyDescent="0.25">
      <c r="A118" t="s">
        <v>164</v>
      </c>
    </row>
    <row r="119" spans="1:1" x14ac:dyDescent="0.25">
      <c r="A119" t="s">
        <v>165</v>
      </c>
    </row>
    <row r="120" spans="1:1" x14ac:dyDescent="0.25">
      <c r="A120" t="s">
        <v>166</v>
      </c>
    </row>
    <row r="121" spans="1:1" x14ac:dyDescent="0.25">
      <c r="A121" t="s">
        <v>167</v>
      </c>
    </row>
    <row r="122" spans="1:1" x14ac:dyDescent="0.25">
      <c r="A122" t="s">
        <v>168</v>
      </c>
    </row>
    <row r="123" spans="1:1" x14ac:dyDescent="0.25">
      <c r="A123" t="s">
        <v>169</v>
      </c>
    </row>
    <row r="124" spans="1:1" x14ac:dyDescent="0.25">
      <c r="A124" t="s">
        <v>170</v>
      </c>
    </row>
    <row r="125" spans="1:1" x14ac:dyDescent="0.25">
      <c r="A125" t="s">
        <v>171</v>
      </c>
    </row>
    <row r="126" spans="1:1" x14ac:dyDescent="0.25">
      <c r="A126" t="s">
        <v>172</v>
      </c>
    </row>
    <row r="127" spans="1:1" x14ac:dyDescent="0.25">
      <c r="A127" t="s">
        <v>173</v>
      </c>
    </row>
    <row r="128" spans="1:1" x14ac:dyDescent="0.25">
      <c r="A128" t="s">
        <v>174</v>
      </c>
    </row>
    <row r="129" spans="1:1" x14ac:dyDescent="0.25">
      <c r="A129" t="s">
        <v>175</v>
      </c>
    </row>
    <row r="130" spans="1:1" x14ac:dyDescent="0.25">
      <c r="A130" t="s">
        <v>176</v>
      </c>
    </row>
    <row r="131" spans="1:1" x14ac:dyDescent="0.25">
      <c r="A131" t="s">
        <v>177</v>
      </c>
    </row>
    <row r="132" spans="1:1" x14ac:dyDescent="0.25">
      <c r="A132" t="s">
        <v>178</v>
      </c>
    </row>
    <row r="133" spans="1:1" x14ac:dyDescent="0.25">
      <c r="A133" t="s">
        <v>179</v>
      </c>
    </row>
    <row r="134" spans="1:1" x14ac:dyDescent="0.25">
      <c r="A134" t="s">
        <v>180</v>
      </c>
    </row>
    <row r="135" spans="1:1" x14ac:dyDescent="0.25">
      <c r="A135" t="s">
        <v>181</v>
      </c>
    </row>
    <row r="136" spans="1:1" x14ac:dyDescent="0.25">
      <c r="A136" t="s">
        <v>182</v>
      </c>
    </row>
    <row r="137" spans="1:1" x14ac:dyDescent="0.25">
      <c r="A137" t="s">
        <v>183</v>
      </c>
    </row>
    <row r="138" spans="1:1" x14ac:dyDescent="0.25">
      <c r="A138" t="s">
        <v>184</v>
      </c>
    </row>
    <row r="139" spans="1:1" x14ac:dyDescent="0.25">
      <c r="A139" t="s">
        <v>185</v>
      </c>
    </row>
    <row r="140" spans="1:1" x14ac:dyDescent="0.25">
      <c r="A140" t="s">
        <v>186</v>
      </c>
    </row>
    <row r="141" spans="1:1" x14ac:dyDescent="0.25">
      <c r="A141" t="s">
        <v>187</v>
      </c>
    </row>
    <row r="142" spans="1:1" x14ac:dyDescent="0.25">
      <c r="A142" t="s">
        <v>188</v>
      </c>
    </row>
    <row r="143" spans="1:1" x14ac:dyDescent="0.25">
      <c r="A143" t="s">
        <v>189</v>
      </c>
    </row>
    <row r="144" spans="1:1" x14ac:dyDescent="0.25">
      <c r="A144" t="s">
        <v>190</v>
      </c>
    </row>
    <row r="145" spans="1:1" x14ac:dyDescent="0.25">
      <c r="A145" t="s">
        <v>191</v>
      </c>
    </row>
    <row r="146" spans="1:1" x14ac:dyDescent="0.25">
      <c r="A146" t="s">
        <v>192</v>
      </c>
    </row>
    <row r="147" spans="1:1" x14ac:dyDescent="0.25">
      <c r="A147" t="s">
        <v>193</v>
      </c>
    </row>
    <row r="148" spans="1:1" x14ac:dyDescent="0.25">
      <c r="A148" t="s">
        <v>194</v>
      </c>
    </row>
    <row r="149" spans="1:1" x14ac:dyDescent="0.25">
      <c r="A149" t="s">
        <v>195</v>
      </c>
    </row>
    <row r="150" spans="1:1" x14ac:dyDescent="0.25">
      <c r="A150" t="s">
        <v>196</v>
      </c>
    </row>
    <row r="151" spans="1:1" x14ac:dyDescent="0.25">
      <c r="A151" t="s">
        <v>197</v>
      </c>
    </row>
    <row r="152" spans="1:1" x14ac:dyDescent="0.25">
      <c r="A152" t="s">
        <v>198</v>
      </c>
    </row>
    <row r="153" spans="1:1" x14ac:dyDescent="0.25">
      <c r="A153" t="s">
        <v>199</v>
      </c>
    </row>
    <row r="154" spans="1:1" x14ac:dyDescent="0.25">
      <c r="A154" t="s">
        <v>200</v>
      </c>
    </row>
    <row r="155" spans="1:1" x14ac:dyDescent="0.25">
      <c r="A155" t="s">
        <v>201</v>
      </c>
    </row>
    <row r="156" spans="1:1" x14ac:dyDescent="0.25">
      <c r="A156" t="s">
        <v>202</v>
      </c>
    </row>
    <row r="157" spans="1:1" x14ac:dyDescent="0.25">
      <c r="A157" t="s">
        <v>203</v>
      </c>
    </row>
    <row r="158" spans="1:1" x14ac:dyDescent="0.25">
      <c r="A158" t="s">
        <v>204</v>
      </c>
    </row>
    <row r="159" spans="1:1" x14ac:dyDescent="0.25">
      <c r="A159" t="s">
        <v>205</v>
      </c>
    </row>
    <row r="160" spans="1:1" x14ac:dyDescent="0.25">
      <c r="A160" t="s">
        <v>206</v>
      </c>
    </row>
    <row r="161" spans="1:1" x14ac:dyDescent="0.25">
      <c r="A161" t="s">
        <v>207</v>
      </c>
    </row>
    <row r="162" spans="1:1" x14ac:dyDescent="0.25">
      <c r="A162" t="s">
        <v>208</v>
      </c>
    </row>
    <row r="163" spans="1:1" x14ac:dyDescent="0.25">
      <c r="A163" t="s">
        <v>209</v>
      </c>
    </row>
    <row r="164" spans="1:1" x14ac:dyDescent="0.25">
      <c r="A164" t="s">
        <v>210</v>
      </c>
    </row>
    <row r="165" spans="1:1" x14ac:dyDescent="0.25">
      <c r="A165" t="s">
        <v>211</v>
      </c>
    </row>
    <row r="166" spans="1:1" x14ac:dyDescent="0.25">
      <c r="A166" t="s">
        <v>212</v>
      </c>
    </row>
    <row r="167" spans="1:1" x14ac:dyDescent="0.25">
      <c r="A167" t="s">
        <v>213</v>
      </c>
    </row>
    <row r="168" spans="1:1" x14ac:dyDescent="0.25">
      <c r="A168" t="s">
        <v>214</v>
      </c>
    </row>
    <row r="169" spans="1:1" x14ac:dyDescent="0.25">
      <c r="A169" t="s">
        <v>215</v>
      </c>
    </row>
    <row r="170" spans="1:1" x14ac:dyDescent="0.25">
      <c r="A170" t="s">
        <v>216</v>
      </c>
    </row>
    <row r="171" spans="1:1" x14ac:dyDescent="0.25">
      <c r="A171" t="s">
        <v>217</v>
      </c>
    </row>
    <row r="172" spans="1:1" x14ac:dyDescent="0.25">
      <c r="A172" t="s">
        <v>218</v>
      </c>
    </row>
    <row r="173" spans="1:1" x14ac:dyDescent="0.25">
      <c r="A173" t="s">
        <v>219</v>
      </c>
    </row>
    <row r="174" spans="1:1" x14ac:dyDescent="0.25">
      <c r="A174" t="s">
        <v>220</v>
      </c>
    </row>
    <row r="175" spans="1:1" x14ac:dyDescent="0.25">
      <c r="A175" t="s">
        <v>221</v>
      </c>
    </row>
    <row r="176" spans="1:1" x14ac:dyDescent="0.25">
      <c r="A176" t="s">
        <v>222</v>
      </c>
    </row>
    <row r="177" spans="1:1" x14ac:dyDescent="0.25">
      <c r="A177" t="s">
        <v>223</v>
      </c>
    </row>
    <row r="178" spans="1:1" x14ac:dyDescent="0.25">
      <c r="A178" t="s">
        <v>224</v>
      </c>
    </row>
    <row r="179" spans="1:1" x14ac:dyDescent="0.25">
      <c r="A179" t="s">
        <v>225</v>
      </c>
    </row>
    <row r="180" spans="1:1" x14ac:dyDescent="0.25">
      <c r="A180" t="s">
        <v>226</v>
      </c>
    </row>
    <row r="181" spans="1:1" x14ac:dyDescent="0.25">
      <c r="A181" t="s">
        <v>227</v>
      </c>
    </row>
    <row r="182" spans="1:1" x14ac:dyDescent="0.25">
      <c r="A182" t="s">
        <v>228</v>
      </c>
    </row>
    <row r="183" spans="1:1" x14ac:dyDescent="0.25">
      <c r="A183" t="s">
        <v>229</v>
      </c>
    </row>
    <row r="184" spans="1:1" x14ac:dyDescent="0.25">
      <c r="A184" t="s">
        <v>230</v>
      </c>
    </row>
    <row r="185" spans="1:1" x14ac:dyDescent="0.25">
      <c r="A185" t="s">
        <v>231</v>
      </c>
    </row>
    <row r="186" spans="1:1" x14ac:dyDescent="0.25">
      <c r="A186" t="s">
        <v>232</v>
      </c>
    </row>
    <row r="187" spans="1:1" x14ac:dyDescent="0.25">
      <c r="A187" t="s">
        <v>233</v>
      </c>
    </row>
    <row r="188" spans="1:1" x14ac:dyDescent="0.25">
      <c r="A188" t="s">
        <v>234</v>
      </c>
    </row>
    <row r="189" spans="1:1" x14ac:dyDescent="0.25">
      <c r="A189" t="s">
        <v>235</v>
      </c>
    </row>
    <row r="190" spans="1:1" x14ac:dyDescent="0.25">
      <c r="A190" t="s">
        <v>236</v>
      </c>
    </row>
    <row r="191" spans="1:1" x14ac:dyDescent="0.25">
      <c r="A191" t="s">
        <v>237</v>
      </c>
    </row>
    <row r="192" spans="1:1" x14ac:dyDescent="0.25">
      <c r="A192" t="s">
        <v>238</v>
      </c>
    </row>
    <row r="193" spans="1:1" x14ac:dyDescent="0.25">
      <c r="A193" t="s">
        <v>239</v>
      </c>
    </row>
    <row r="194" spans="1:1" x14ac:dyDescent="0.25">
      <c r="A194" t="s">
        <v>240</v>
      </c>
    </row>
    <row r="195" spans="1:1" x14ac:dyDescent="0.25">
      <c r="A195" t="s">
        <v>241</v>
      </c>
    </row>
    <row r="196" spans="1:1" x14ac:dyDescent="0.25">
      <c r="A196" t="s">
        <v>242</v>
      </c>
    </row>
    <row r="197" spans="1:1" x14ac:dyDescent="0.25">
      <c r="A197" t="s">
        <v>243</v>
      </c>
    </row>
    <row r="198" spans="1:1" x14ac:dyDescent="0.25">
      <c r="A198" t="s">
        <v>244</v>
      </c>
    </row>
    <row r="199" spans="1:1" x14ac:dyDescent="0.25">
      <c r="A199" t="s">
        <v>245</v>
      </c>
    </row>
    <row r="200" spans="1:1" x14ac:dyDescent="0.25">
      <c r="A200" t="s">
        <v>246</v>
      </c>
    </row>
    <row r="201" spans="1:1" x14ac:dyDescent="0.25">
      <c r="A201" t="s">
        <v>247</v>
      </c>
    </row>
    <row r="202" spans="1:1" x14ac:dyDescent="0.25">
      <c r="A202" t="s">
        <v>248</v>
      </c>
    </row>
    <row r="203" spans="1:1" x14ac:dyDescent="0.25">
      <c r="A203" t="s">
        <v>249</v>
      </c>
    </row>
    <row r="204" spans="1:1" x14ac:dyDescent="0.25">
      <c r="A204" t="s">
        <v>250</v>
      </c>
    </row>
    <row r="205" spans="1:1" x14ac:dyDescent="0.25">
      <c r="A205" t="s">
        <v>251</v>
      </c>
    </row>
    <row r="206" spans="1:1" x14ac:dyDescent="0.25">
      <c r="A206" t="s">
        <v>252</v>
      </c>
    </row>
    <row r="207" spans="1:1" x14ac:dyDescent="0.25">
      <c r="A207" t="s">
        <v>253</v>
      </c>
    </row>
    <row r="208" spans="1:1" x14ac:dyDescent="0.25">
      <c r="A208" t="s">
        <v>254</v>
      </c>
    </row>
    <row r="209" spans="1:1" x14ac:dyDescent="0.25">
      <c r="A209" t="s">
        <v>255</v>
      </c>
    </row>
    <row r="210" spans="1:1" x14ac:dyDescent="0.25">
      <c r="A210" t="s">
        <v>256</v>
      </c>
    </row>
    <row r="211" spans="1:1" x14ac:dyDescent="0.25">
      <c r="A211" t="s">
        <v>257</v>
      </c>
    </row>
    <row r="212" spans="1:1" x14ac:dyDescent="0.25">
      <c r="A212" t="s">
        <v>258</v>
      </c>
    </row>
    <row r="213" spans="1:1" x14ac:dyDescent="0.25">
      <c r="A213" t="s">
        <v>259</v>
      </c>
    </row>
    <row r="214" spans="1:1" x14ac:dyDescent="0.25">
      <c r="A214" t="s">
        <v>260</v>
      </c>
    </row>
    <row r="215" spans="1:1" x14ac:dyDescent="0.25">
      <c r="A215" t="s">
        <v>261</v>
      </c>
    </row>
    <row r="216" spans="1:1" x14ac:dyDescent="0.25">
      <c r="A216" t="s">
        <v>262</v>
      </c>
    </row>
    <row r="217" spans="1:1" x14ac:dyDescent="0.25">
      <c r="A217" t="s">
        <v>263</v>
      </c>
    </row>
    <row r="218" spans="1:1" x14ac:dyDescent="0.25">
      <c r="A218" t="s">
        <v>264</v>
      </c>
    </row>
    <row r="219" spans="1:1" x14ac:dyDescent="0.25">
      <c r="A219" t="s">
        <v>265</v>
      </c>
    </row>
    <row r="220" spans="1:1" x14ac:dyDescent="0.25">
      <c r="A220" t="s">
        <v>266</v>
      </c>
    </row>
    <row r="221" spans="1:1" x14ac:dyDescent="0.25">
      <c r="A221" t="s">
        <v>267</v>
      </c>
    </row>
    <row r="222" spans="1:1" x14ac:dyDescent="0.25">
      <c r="A222" t="s">
        <v>268</v>
      </c>
    </row>
    <row r="223" spans="1:1" x14ac:dyDescent="0.25">
      <c r="A223" t="s">
        <v>269</v>
      </c>
    </row>
    <row r="224" spans="1:1" x14ac:dyDescent="0.25">
      <c r="A224" t="s">
        <v>270</v>
      </c>
    </row>
    <row r="225" spans="1:1" x14ac:dyDescent="0.25">
      <c r="A225" t="s">
        <v>271</v>
      </c>
    </row>
    <row r="226" spans="1:1" x14ac:dyDescent="0.25">
      <c r="A226" t="s">
        <v>272</v>
      </c>
    </row>
    <row r="227" spans="1:1" x14ac:dyDescent="0.25">
      <c r="A227" t="s">
        <v>273</v>
      </c>
    </row>
    <row r="228" spans="1:1" x14ac:dyDescent="0.25">
      <c r="A228" t="s">
        <v>274</v>
      </c>
    </row>
    <row r="229" spans="1:1" x14ac:dyDescent="0.25">
      <c r="A229" t="s">
        <v>275</v>
      </c>
    </row>
    <row r="230" spans="1:1" x14ac:dyDescent="0.25">
      <c r="A230" t="s">
        <v>276</v>
      </c>
    </row>
    <row r="231" spans="1:1" x14ac:dyDescent="0.25">
      <c r="A231" t="s">
        <v>277</v>
      </c>
    </row>
    <row r="232" spans="1:1" x14ac:dyDescent="0.25">
      <c r="A232" t="s">
        <v>278</v>
      </c>
    </row>
    <row r="233" spans="1:1" x14ac:dyDescent="0.25">
      <c r="A233" t="s">
        <v>279</v>
      </c>
    </row>
    <row r="234" spans="1:1" x14ac:dyDescent="0.25">
      <c r="A234" t="s">
        <v>280</v>
      </c>
    </row>
    <row r="235" spans="1:1" x14ac:dyDescent="0.25">
      <c r="A235" t="s">
        <v>281</v>
      </c>
    </row>
    <row r="236" spans="1:1" x14ac:dyDescent="0.25">
      <c r="A236" t="s">
        <v>282</v>
      </c>
    </row>
    <row r="237" spans="1:1" x14ac:dyDescent="0.25">
      <c r="A237" t="s">
        <v>283</v>
      </c>
    </row>
    <row r="238" spans="1:1" x14ac:dyDescent="0.25">
      <c r="A238" t="s">
        <v>284</v>
      </c>
    </row>
    <row r="239" spans="1:1" x14ac:dyDescent="0.25">
      <c r="A239" t="s">
        <v>285</v>
      </c>
    </row>
    <row r="240" spans="1:1" x14ac:dyDescent="0.25">
      <c r="A240" t="s">
        <v>286</v>
      </c>
    </row>
    <row r="241" spans="1:1" x14ac:dyDescent="0.25">
      <c r="A241" t="s">
        <v>287</v>
      </c>
    </row>
    <row r="242" spans="1:1" x14ac:dyDescent="0.25">
      <c r="A242" t="s">
        <v>288</v>
      </c>
    </row>
    <row r="243" spans="1:1" x14ac:dyDescent="0.25">
      <c r="A243" t="s">
        <v>289</v>
      </c>
    </row>
    <row r="244" spans="1:1" x14ac:dyDescent="0.25">
      <c r="A244" t="s">
        <v>290</v>
      </c>
    </row>
    <row r="245" spans="1:1" x14ac:dyDescent="0.25">
      <c r="A245" t="s">
        <v>291</v>
      </c>
    </row>
    <row r="246" spans="1:1" x14ac:dyDescent="0.25">
      <c r="A246" t="s">
        <v>292</v>
      </c>
    </row>
    <row r="247" spans="1:1" x14ac:dyDescent="0.25">
      <c r="A247" t="s">
        <v>293</v>
      </c>
    </row>
    <row r="248" spans="1:1" x14ac:dyDescent="0.25">
      <c r="A248" t="s">
        <v>294</v>
      </c>
    </row>
    <row r="249" spans="1:1" x14ac:dyDescent="0.25">
      <c r="A249" t="s">
        <v>295</v>
      </c>
    </row>
    <row r="250" spans="1:1" x14ac:dyDescent="0.25">
      <c r="A250" t="s">
        <v>296</v>
      </c>
    </row>
    <row r="251" spans="1:1" x14ac:dyDescent="0.25">
      <c r="A251" t="s">
        <v>297</v>
      </c>
    </row>
    <row r="252" spans="1:1" x14ac:dyDescent="0.25">
      <c r="A252" t="s">
        <v>298</v>
      </c>
    </row>
    <row r="253" spans="1:1" x14ac:dyDescent="0.25">
      <c r="A253" t="s">
        <v>299</v>
      </c>
    </row>
    <row r="254" spans="1:1" x14ac:dyDescent="0.25">
      <c r="A254" t="s">
        <v>300</v>
      </c>
    </row>
    <row r="255" spans="1:1" x14ac:dyDescent="0.25">
      <c r="A255" t="s">
        <v>301</v>
      </c>
    </row>
    <row r="256" spans="1:1" x14ac:dyDescent="0.25">
      <c r="A256" t="s">
        <v>302</v>
      </c>
    </row>
    <row r="257" spans="1:1" x14ac:dyDescent="0.25">
      <c r="A257" t="s">
        <v>303</v>
      </c>
    </row>
    <row r="258" spans="1:1" x14ac:dyDescent="0.25">
      <c r="A258" t="s">
        <v>304</v>
      </c>
    </row>
    <row r="259" spans="1:1" x14ac:dyDescent="0.25">
      <c r="A259" t="s">
        <v>305</v>
      </c>
    </row>
    <row r="260" spans="1:1" x14ac:dyDescent="0.25">
      <c r="A260" t="s">
        <v>306</v>
      </c>
    </row>
    <row r="261" spans="1:1" x14ac:dyDescent="0.25">
      <c r="A261" t="s">
        <v>307</v>
      </c>
    </row>
    <row r="262" spans="1:1" x14ac:dyDescent="0.25">
      <c r="A262" t="s">
        <v>308</v>
      </c>
    </row>
    <row r="263" spans="1:1" x14ac:dyDescent="0.25">
      <c r="A263" t="s">
        <v>309</v>
      </c>
    </row>
    <row r="264" spans="1:1" x14ac:dyDescent="0.25">
      <c r="A264" t="s">
        <v>310</v>
      </c>
    </row>
    <row r="265" spans="1:1" x14ac:dyDescent="0.25">
      <c r="A265" t="s">
        <v>311</v>
      </c>
    </row>
    <row r="266" spans="1:1" x14ac:dyDescent="0.25">
      <c r="A266" t="s">
        <v>312</v>
      </c>
    </row>
    <row r="267" spans="1:1" x14ac:dyDescent="0.25">
      <c r="A267" t="s">
        <v>313</v>
      </c>
    </row>
    <row r="268" spans="1:1" x14ac:dyDescent="0.25">
      <c r="A268" t="s">
        <v>314</v>
      </c>
    </row>
    <row r="269" spans="1:1" x14ac:dyDescent="0.25">
      <c r="A269" t="s">
        <v>315</v>
      </c>
    </row>
    <row r="270" spans="1:1" x14ac:dyDescent="0.25">
      <c r="A270" t="s">
        <v>316</v>
      </c>
    </row>
    <row r="271" spans="1:1" x14ac:dyDescent="0.25">
      <c r="A271" t="s">
        <v>317</v>
      </c>
    </row>
    <row r="272" spans="1:1" x14ac:dyDescent="0.25">
      <c r="A272" t="s">
        <v>318</v>
      </c>
    </row>
    <row r="273" spans="1:1" x14ac:dyDescent="0.25">
      <c r="A273" t="s">
        <v>319</v>
      </c>
    </row>
    <row r="274" spans="1:1" x14ac:dyDescent="0.25">
      <c r="A274" t="s">
        <v>320</v>
      </c>
    </row>
    <row r="275" spans="1:1" x14ac:dyDescent="0.25">
      <c r="A275" t="s">
        <v>321</v>
      </c>
    </row>
    <row r="276" spans="1:1" x14ac:dyDescent="0.25">
      <c r="A276" t="s">
        <v>322</v>
      </c>
    </row>
    <row r="277" spans="1:1" x14ac:dyDescent="0.25">
      <c r="A277" t="s">
        <v>323</v>
      </c>
    </row>
    <row r="278" spans="1:1" x14ac:dyDescent="0.25">
      <c r="A278" t="s">
        <v>324</v>
      </c>
    </row>
    <row r="279" spans="1:1" x14ac:dyDescent="0.25">
      <c r="A279" t="s">
        <v>325</v>
      </c>
    </row>
    <row r="280" spans="1:1" x14ac:dyDescent="0.25">
      <c r="A280" t="s">
        <v>326</v>
      </c>
    </row>
    <row r="281" spans="1:1" x14ac:dyDescent="0.25">
      <c r="A281" t="s">
        <v>327</v>
      </c>
    </row>
    <row r="282" spans="1:1" x14ac:dyDescent="0.25">
      <c r="A282" t="s">
        <v>328</v>
      </c>
    </row>
    <row r="283" spans="1:1" x14ac:dyDescent="0.25">
      <c r="A283" t="s">
        <v>329</v>
      </c>
    </row>
    <row r="284" spans="1:1" x14ac:dyDescent="0.25">
      <c r="A284" t="s">
        <v>330</v>
      </c>
    </row>
    <row r="285" spans="1:1" x14ac:dyDescent="0.25">
      <c r="A285" t="s">
        <v>331</v>
      </c>
    </row>
    <row r="286" spans="1:1" x14ac:dyDescent="0.25">
      <c r="A286" t="s">
        <v>332</v>
      </c>
    </row>
    <row r="287" spans="1:1" x14ac:dyDescent="0.25">
      <c r="A287" t="s">
        <v>333</v>
      </c>
    </row>
    <row r="288" spans="1:1" x14ac:dyDescent="0.25">
      <c r="A288" t="s">
        <v>334</v>
      </c>
    </row>
    <row r="289" spans="1:1" x14ac:dyDescent="0.25">
      <c r="A289" t="s">
        <v>335</v>
      </c>
    </row>
    <row r="290" spans="1:1" x14ac:dyDescent="0.25">
      <c r="A290" t="s">
        <v>336</v>
      </c>
    </row>
    <row r="291" spans="1:1" x14ac:dyDescent="0.25">
      <c r="A291" t="s">
        <v>337</v>
      </c>
    </row>
    <row r="292" spans="1:1" x14ac:dyDescent="0.25">
      <c r="A292" t="s">
        <v>338</v>
      </c>
    </row>
    <row r="293" spans="1:1" x14ac:dyDescent="0.25">
      <c r="A293" t="s">
        <v>339</v>
      </c>
    </row>
    <row r="294" spans="1:1" x14ac:dyDescent="0.25">
      <c r="A294" t="s">
        <v>340</v>
      </c>
    </row>
    <row r="295" spans="1:1" x14ac:dyDescent="0.25">
      <c r="A295" t="s">
        <v>341</v>
      </c>
    </row>
    <row r="296" spans="1:1" x14ac:dyDescent="0.25">
      <c r="A296" t="s">
        <v>342</v>
      </c>
    </row>
    <row r="297" spans="1:1" x14ac:dyDescent="0.25">
      <c r="A297" t="s">
        <v>343</v>
      </c>
    </row>
    <row r="298" spans="1:1" x14ac:dyDescent="0.25">
      <c r="A298" t="s">
        <v>344</v>
      </c>
    </row>
    <row r="299" spans="1:1" x14ac:dyDescent="0.25">
      <c r="A299" t="s">
        <v>345</v>
      </c>
    </row>
    <row r="300" spans="1:1" x14ac:dyDescent="0.25">
      <c r="A300" t="s">
        <v>346</v>
      </c>
    </row>
    <row r="301" spans="1:1" x14ac:dyDescent="0.25">
      <c r="A301" t="s">
        <v>347</v>
      </c>
    </row>
    <row r="302" spans="1:1" x14ac:dyDescent="0.25">
      <c r="A302" t="s">
        <v>348</v>
      </c>
    </row>
    <row r="303" spans="1:1" x14ac:dyDescent="0.25">
      <c r="A303" t="s">
        <v>349</v>
      </c>
    </row>
    <row r="304" spans="1:1" x14ac:dyDescent="0.25">
      <c r="A304" t="s">
        <v>350</v>
      </c>
    </row>
    <row r="305" spans="1:1" x14ac:dyDescent="0.25">
      <c r="A305" t="s">
        <v>351</v>
      </c>
    </row>
    <row r="306" spans="1:1" x14ac:dyDescent="0.25">
      <c r="A306" t="s">
        <v>352</v>
      </c>
    </row>
    <row r="307" spans="1:1" x14ac:dyDescent="0.25">
      <c r="A307" t="s">
        <v>353</v>
      </c>
    </row>
    <row r="308" spans="1:1" x14ac:dyDescent="0.25">
      <c r="A308" t="s">
        <v>354</v>
      </c>
    </row>
    <row r="309" spans="1:1" x14ac:dyDescent="0.25">
      <c r="A309" t="s">
        <v>355</v>
      </c>
    </row>
    <row r="310" spans="1:1" x14ac:dyDescent="0.25">
      <c r="A310" t="s">
        <v>356</v>
      </c>
    </row>
    <row r="311" spans="1:1" x14ac:dyDescent="0.25">
      <c r="A311" t="s">
        <v>357</v>
      </c>
    </row>
    <row r="312" spans="1:1" x14ac:dyDescent="0.25">
      <c r="A312" t="s">
        <v>358</v>
      </c>
    </row>
    <row r="313" spans="1:1" x14ac:dyDescent="0.25">
      <c r="A313" t="s">
        <v>359</v>
      </c>
    </row>
    <row r="314" spans="1:1" x14ac:dyDescent="0.25">
      <c r="A314" t="s">
        <v>360</v>
      </c>
    </row>
    <row r="315" spans="1:1" x14ac:dyDescent="0.25">
      <c r="A315" t="s">
        <v>361</v>
      </c>
    </row>
    <row r="316" spans="1:1" x14ac:dyDescent="0.25">
      <c r="A316" t="s">
        <v>362</v>
      </c>
    </row>
    <row r="317" spans="1:1" x14ac:dyDescent="0.25">
      <c r="A317" t="s">
        <v>363</v>
      </c>
    </row>
    <row r="318" spans="1:1" x14ac:dyDescent="0.25">
      <c r="A318" t="s">
        <v>364</v>
      </c>
    </row>
    <row r="319" spans="1:1" x14ac:dyDescent="0.25">
      <c r="A319" t="s">
        <v>365</v>
      </c>
    </row>
    <row r="320" spans="1:1" x14ac:dyDescent="0.25">
      <c r="A320" t="s">
        <v>366</v>
      </c>
    </row>
    <row r="321" spans="1:1" x14ac:dyDescent="0.25">
      <c r="A321" t="s">
        <v>367</v>
      </c>
    </row>
    <row r="322" spans="1:1" x14ac:dyDescent="0.25">
      <c r="A322" t="s">
        <v>368</v>
      </c>
    </row>
    <row r="323" spans="1:1" x14ac:dyDescent="0.25">
      <c r="A323" t="s">
        <v>369</v>
      </c>
    </row>
    <row r="324" spans="1:1" x14ac:dyDescent="0.25">
      <c r="A324" t="s">
        <v>370</v>
      </c>
    </row>
    <row r="325" spans="1:1" x14ac:dyDescent="0.25">
      <c r="A325" t="s">
        <v>371</v>
      </c>
    </row>
    <row r="326" spans="1:1" x14ac:dyDescent="0.25">
      <c r="A326" t="s">
        <v>372</v>
      </c>
    </row>
    <row r="327" spans="1:1" x14ac:dyDescent="0.25">
      <c r="A327" t="s">
        <v>373</v>
      </c>
    </row>
    <row r="328" spans="1:1" x14ac:dyDescent="0.25">
      <c r="A328" t="s">
        <v>374</v>
      </c>
    </row>
    <row r="329" spans="1:1" x14ac:dyDescent="0.25">
      <c r="A329" t="s">
        <v>375</v>
      </c>
    </row>
    <row r="330" spans="1:1" x14ac:dyDescent="0.25">
      <c r="A330" t="s">
        <v>376</v>
      </c>
    </row>
    <row r="331" spans="1:1" x14ac:dyDescent="0.25">
      <c r="A331" t="s">
        <v>377</v>
      </c>
    </row>
    <row r="332" spans="1:1" x14ac:dyDescent="0.25">
      <c r="A332" t="s">
        <v>378</v>
      </c>
    </row>
    <row r="333" spans="1:1" x14ac:dyDescent="0.25">
      <c r="A333" t="s">
        <v>379</v>
      </c>
    </row>
    <row r="334" spans="1:1" x14ac:dyDescent="0.25">
      <c r="A334" t="s">
        <v>380</v>
      </c>
    </row>
    <row r="335" spans="1:1" x14ac:dyDescent="0.25">
      <c r="A335" t="s">
        <v>381</v>
      </c>
    </row>
    <row r="336" spans="1:1" x14ac:dyDescent="0.25">
      <c r="A336" t="s">
        <v>382</v>
      </c>
    </row>
    <row r="337" spans="1:1" x14ac:dyDescent="0.25">
      <c r="A337" t="s">
        <v>383</v>
      </c>
    </row>
    <row r="338" spans="1:1" x14ac:dyDescent="0.25">
      <c r="A338" t="s">
        <v>384</v>
      </c>
    </row>
    <row r="339" spans="1:1" x14ac:dyDescent="0.25">
      <c r="A339" t="s">
        <v>385</v>
      </c>
    </row>
    <row r="340" spans="1:1" x14ac:dyDescent="0.25">
      <c r="A340" t="s">
        <v>386</v>
      </c>
    </row>
    <row r="341" spans="1:1" x14ac:dyDescent="0.25">
      <c r="A341" t="s">
        <v>387</v>
      </c>
    </row>
    <row r="342" spans="1:1" x14ac:dyDescent="0.25">
      <c r="A342" t="s">
        <v>388</v>
      </c>
    </row>
    <row r="343" spans="1:1" x14ac:dyDescent="0.25">
      <c r="A343" t="s">
        <v>389</v>
      </c>
    </row>
    <row r="344" spans="1:1" x14ac:dyDescent="0.25">
      <c r="A344" t="s">
        <v>390</v>
      </c>
    </row>
    <row r="345" spans="1:1" x14ac:dyDescent="0.25">
      <c r="A345" t="s">
        <v>391</v>
      </c>
    </row>
    <row r="346" spans="1:1" x14ac:dyDescent="0.25">
      <c r="A346" t="s">
        <v>392</v>
      </c>
    </row>
    <row r="347" spans="1:1" x14ac:dyDescent="0.25">
      <c r="A347" t="s">
        <v>393</v>
      </c>
    </row>
    <row r="348" spans="1:1" x14ac:dyDescent="0.25">
      <c r="A348" t="s">
        <v>394</v>
      </c>
    </row>
    <row r="349" spans="1:1" x14ac:dyDescent="0.25">
      <c r="A349" t="s">
        <v>395</v>
      </c>
    </row>
    <row r="350" spans="1:1" x14ac:dyDescent="0.25">
      <c r="A350" t="s">
        <v>396</v>
      </c>
    </row>
    <row r="351" spans="1:1" x14ac:dyDescent="0.25">
      <c r="A351" t="s">
        <v>397</v>
      </c>
    </row>
    <row r="352" spans="1:1" x14ac:dyDescent="0.25">
      <c r="A352" t="s">
        <v>398</v>
      </c>
    </row>
    <row r="353" spans="1:1" x14ac:dyDescent="0.25">
      <c r="A353" t="s">
        <v>399</v>
      </c>
    </row>
    <row r="354" spans="1:1" x14ac:dyDescent="0.25">
      <c r="A354" t="s">
        <v>400</v>
      </c>
    </row>
    <row r="355" spans="1:1" x14ac:dyDescent="0.25">
      <c r="A355" t="s">
        <v>401</v>
      </c>
    </row>
    <row r="356" spans="1:1" x14ac:dyDescent="0.25">
      <c r="A356" t="s">
        <v>402</v>
      </c>
    </row>
    <row r="357" spans="1:1" x14ac:dyDescent="0.25">
      <c r="A357" t="s">
        <v>403</v>
      </c>
    </row>
    <row r="358" spans="1:1" x14ac:dyDescent="0.25">
      <c r="A358" t="s">
        <v>404</v>
      </c>
    </row>
    <row r="359" spans="1:1" x14ac:dyDescent="0.25">
      <c r="A359" t="s">
        <v>405</v>
      </c>
    </row>
    <row r="360" spans="1:1" x14ac:dyDescent="0.25">
      <c r="A360" t="s">
        <v>406</v>
      </c>
    </row>
    <row r="361" spans="1:1" x14ac:dyDescent="0.25">
      <c r="A361" t="s">
        <v>407</v>
      </c>
    </row>
    <row r="362" spans="1:1" x14ac:dyDescent="0.25">
      <c r="A362" t="s">
        <v>408</v>
      </c>
    </row>
    <row r="363" spans="1:1" x14ac:dyDescent="0.25">
      <c r="A363" t="s">
        <v>409</v>
      </c>
    </row>
    <row r="364" spans="1:1" x14ac:dyDescent="0.25">
      <c r="A364" t="s">
        <v>410</v>
      </c>
    </row>
    <row r="365" spans="1:1" x14ac:dyDescent="0.25">
      <c r="A365" t="s">
        <v>411</v>
      </c>
    </row>
    <row r="366" spans="1:1" x14ac:dyDescent="0.25">
      <c r="A366" t="s">
        <v>412</v>
      </c>
    </row>
    <row r="367" spans="1:1" x14ac:dyDescent="0.25">
      <c r="A367" t="s">
        <v>413</v>
      </c>
    </row>
    <row r="368" spans="1:1" x14ac:dyDescent="0.25">
      <c r="A368" t="s">
        <v>414</v>
      </c>
    </row>
    <row r="369" spans="1:1" x14ac:dyDescent="0.25">
      <c r="A369" t="s">
        <v>415</v>
      </c>
    </row>
    <row r="370" spans="1:1" x14ac:dyDescent="0.25">
      <c r="A370" t="s">
        <v>416</v>
      </c>
    </row>
    <row r="371" spans="1:1" x14ac:dyDescent="0.25">
      <c r="A371" t="s">
        <v>417</v>
      </c>
    </row>
    <row r="372" spans="1:1" x14ac:dyDescent="0.25">
      <c r="A372" t="s">
        <v>418</v>
      </c>
    </row>
    <row r="373" spans="1:1" x14ac:dyDescent="0.25">
      <c r="A373" t="s">
        <v>419</v>
      </c>
    </row>
    <row r="374" spans="1:1" x14ac:dyDescent="0.25">
      <c r="A374" t="s">
        <v>420</v>
      </c>
    </row>
    <row r="375" spans="1:1" x14ac:dyDescent="0.25">
      <c r="A375" t="s">
        <v>421</v>
      </c>
    </row>
    <row r="376" spans="1:1" x14ac:dyDescent="0.25">
      <c r="A376" t="s">
        <v>422</v>
      </c>
    </row>
    <row r="377" spans="1:1" x14ac:dyDescent="0.25">
      <c r="A377" t="s">
        <v>423</v>
      </c>
    </row>
    <row r="378" spans="1:1" x14ac:dyDescent="0.25">
      <c r="A378" t="s">
        <v>424</v>
      </c>
    </row>
    <row r="379" spans="1:1" x14ac:dyDescent="0.25">
      <c r="A379" t="s">
        <v>425</v>
      </c>
    </row>
    <row r="380" spans="1:1" x14ac:dyDescent="0.25">
      <c r="A380" t="s">
        <v>426</v>
      </c>
    </row>
    <row r="381" spans="1:1" x14ac:dyDescent="0.25">
      <c r="A381" t="s">
        <v>427</v>
      </c>
    </row>
    <row r="382" spans="1:1" x14ac:dyDescent="0.25">
      <c r="A382" t="s">
        <v>428</v>
      </c>
    </row>
    <row r="383" spans="1:1" x14ac:dyDescent="0.25">
      <c r="A383" t="s">
        <v>429</v>
      </c>
    </row>
    <row r="384" spans="1:1" x14ac:dyDescent="0.25">
      <c r="A384" t="s">
        <v>430</v>
      </c>
    </row>
    <row r="385" spans="1:1" x14ac:dyDescent="0.25">
      <c r="A385" t="s">
        <v>431</v>
      </c>
    </row>
    <row r="386" spans="1:1" x14ac:dyDescent="0.25">
      <c r="A386" t="s">
        <v>432</v>
      </c>
    </row>
    <row r="387" spans="1:1" x14ac:dyDescent="0.25">
      <c r="A387" t="s">
        <v>433</v>
      </c>
    </row>
    <row r="388" spans="1:1" x14ac:dyDescent="0.25">
      <c r="A388" t="s">
        <v>434</v>
      </c>
    </row>
    <row r="389" spans="1:1" x14ac:dyDescent="0.25">
      <c r="A389" t="s">
        <v>435</v>
      </c>
    </row>
    <row r="390" spans="1:1" x14ac:dyDescent="0.25">
      <c r="A390" t="s">
        <v>436</v>
      </c>
    </row>
    <row r="391" spans="1:1" x14ac:dyDescent="0.25">
      <c r="A391" t="s">
        <v>437</v>
      </c>
    </row>
    <row r="392" spans="1:1" x14ac:dyDescent="0.25">
      <c r="A392" t="s">
        <v>438</v>
      </c>
    </row>
    <row r="393" spans="1:1" x14ac:dyDescent="0.25">
      <c r="A393" t="s">
        <v>439</v>
      </c>
    </row>
    <row r="394" spans="1:1" x14ac:dyDescent="0.25">
      <c r="A394" t="s">
        <v>440</v>
      </c>
    </row>
    <row r="395" spans="1:1" x14ac:dyDescent="0.25">
      <c r="A395" t="s">
        <v>441</v>
      </c>
    </row>
    <row r="396" spans="1:1" x14ac:dyDescent="0.25">
      <c r="A396" t="s">
        <v>442</v>
      </c>
    </row>
    <row r="397" spans="1:1" x14ac:dyDescent="0.25">
      <c r="A397" t="s">
        <v>443</v>
      </c>
    </row>
    <row r="398" spans="1:1" x14ac:dyDescent="0.25">
      <c r="A398" t="s">
        <v>444</v>
      </c>
    </row>
    <row r="399" spans="1:1" x14ac:dyDescent="0.25">
      <c r="A399" t="s">
        <v>445</v>
      </c>
    </row>
    <row r="400" spans="1:1" x14ac:dyDescent="0.25">
      <c r="A400" t="s">
        <v>446</v>
      </c>
    </row>
    <row r="401" spans="1:1" x14ac:dyDescent="0.25">
      <c r="A401" t="s">
        <v>447</v>
      </c>
    </row>
    <row r="402" spans="1:1" x14ac:dyDescent="0.25">
      <c r="A402" t="s">
        <v>448</v>
      </c>
    </row>
    <row r="403" spans="1:1" x14ac:dyDescent="0.25">
      <c r="A403" t="s">
        <v>449</v>
      </c>
    </row>
    <row r="404" spans="1:1" x14ac:dyDescent="0.25">
      <c r="A404" t="s">
        <v>450</v>
      </c>
    </row>
    <row r="405" spans="1:1" x14ac:dyDescent="0.25">
      <c r="A405" t="s">
        <v>451</v>
      </c>
    </row>
    <row r="406" spans="1:1" x14ac:dyDescent="0.25">
      <c r="A406" t="s">
        <v>452</v>
      </c>
    </row>
    <row r="407" spans="1:1" x14ac:dyDescent="0.25">
      <c r="A407" t="s">
        <v>453</v>
      </c>
    </row>
    <row r="408" spans="1:1" x14ac:dyDescent="0.25">
      <c r="A408" t="s">
        <v>454</v>
      </c>
    </row>
    <row r="409" spans="1:1" x14ac:dyDescent="0.25">
      <c r="A409" t="s">
        <v>455</v>
      </c>
    </row>
    <row r="410" spans="1:1" x14ac:dyDescent="0.25">
      <c r="A410" t="s">
        <v>456</v>
      </c>
    </row>
    <row r="411" spans="1:1" x14ac:dyDescent="0.25">
      <c r="A411" t="s">
        <v>457</v>
      </c>
    </row>
    <row r="412" spans="1:1" x14ac:dyDescent="0.25">
      <c r="A412" t="s">
        <v>458</v>
      </c>
    </row>
    <row r="413" spans="1:1" x14ac:dyDescent="0.25">
      <c r="A413" t="s">
        <v>459</v>
      </c>
    </row>
    <row r="414" spans="1:1" x14ac:dyDescent="0.25">
      <c r="A414" t="s">
        <v>460</v>
      </c>
    </row>
    <row r="415" spans="1:1" x14ac:dyDescent="0.25">
      <c r="A415" t="s">
        <v>461</v>
      </c>
    </row>
    <row r="416" spans="1:1" x14ac:dyDescent="0.25">
      <c r="A416" t="s">
        <v>462</v>
      </c>
    </row>
    <row r="417" spans="1:1" x14ac:dyDescent="0.25">
      <c r="A417" t="s">
        <v>463</v>
      </c>
    </row>
    <row r="418" spans="1:1" x14ac:dyDescent="0.25">
      <c r="A418" t="s">
        <v>464</v>
      </c>
    </row>
    <row r="419" spans="1:1" x14ac:dyDescent="0.25">
      <c r="A419" t="s">
        <v>465</v>
      </c>
    </row>
    <row r="420" spans="1:1" x14ac:dyDescent="0.25">
      <c r="A420" t="s">
        <v>466</v>
      </c>
    </row>
    <row r="421" spans="1:1" x14ac:dyDescent="0.25">
      <c r="A421" t="s">
        <v>467</v>
      </c>
    </row>
    <row r="422" spans="1:1" x14ac:dyDescent="0.25">
      <c r="A422" t="s">
        <v>468</v>
      </c>
    </row>
    <row r="423" spans="1:1" x14ac:dyDescent="0.25">
      <c r="A423" t="s">
        <v>469</v>
      </c>
    </row>
    <row r="424" spans="1:1" x14ac:dyDescent="0.25">
      <c r="A424" t="s">
        <v>470</v>
      </c>
    </row>
    <row r="425" spans="1:1" x14ac:dyDescent="0.25">
      <c r="A425" t="s">
        <v>471</v>
      </c>
    </row>
    <row r="426" spans="1:1" x14ac:dyDescent="0.25">
      <c r="A426" t="s">
        <v>472</v>
      </c>
    </row>
    <row r="427" spans="1:1" x14ac:dyDescent="0.25">
      <c r="A427" t="s">
        <v>473</v>
      </c>
    </row>
    <row r="428" spans="1:1" x14ac:dyDescent="0.25">
      <c r="A428" t="s">
        <v>474</v>
      </c>
    </row>
    <row r="429" spans="1:1" x14ac:dyDescent="0.25">
      <c r="A429" t="s">
        <v>6</v>
      </c>
    </row>
    <row r="430" spans="1:1" x14ac:dyDescent="0.25">
      <c r="A430" t="s">
        <v>475</v>
      </c>
    </row>
    <row r="431" spans="1:1" x14ac:dyDescent="0.25">
      <c r="A431" t="s">
        <v>476</v>
      </c>
    </row>
    <row r="432" spans="1:1" x14ac:dyDescent="0.25">
      <c r="A432" t="s">
        <v>477</v>
      </c>
    </row>
    <row r="433" spans="1:1" x14ac:dyDescent="0.25">
      <c r="A433" t="s">
        <v>478</v>
      </c>
    </row>
    <row r="434" spans="1:1" x14ac:dyDescent="0.25">
      <c r="A434" t="s">
        <v>479</v>
      </c>
    </row>
    <row r="435" spans="1:1" x14ac:dyDescent="0.25">
      <c r="A435" t="s">
        <v>480</v>
      </c>
    </row>
    <row r="436" spans="1:1" x14ac:dyDescent="0.25">
      <c r="A436" t="s">
        <v>481</v>
      </c>
    </row>
    <row r="437" spans="1:1" x14ac:dyDescent="0.25">
      <c r="A437" t="s">
        <v>482</v>
      </c>
    </row>
    <row r="438" spans="1:1" x14ac:dyDescent="0.25">
      <c r="A438" t="s">
        <v>483</v>
      </c>
    </row>
    <row r="439" spans="1:1" x14ac:dyDescent="0.25">
      <c r="A439" t="s">
        <v>484</v>
      </c>
    </row>
    <row r="440" spans="1:1" x14ac:dyDescent="0.25">
      <c r="A440" t="s">
        <v>485</v>
      </c>
    </row>
    <row r="441" spans="1:1" x14ac:dyDescent="0.25">
      <c r="A441" t="s">
        <v>486</v>
      </c>
    </row>
    <row r="442" spans="1:1" x14ac:dyDescent="0.25">
      <c r="A442" t="s">
        <v>487</v>
      </c>
    </row>
    <row r="443" spans="1:1" x14ac:dyDescent="0.25">
      <c r="A443" t="s">
        <v>488</v>
      </c>
    </row>
    <row r="444" spans="1:1" x14ac:dyDescent="0.25">
      <c r="A444" t="s">
        <v>489</v>
      </c>
    </row>
    <row r="445" spans="1:1" x14ac:dyDescent="0.25">
      <c r="A445" t="s">
        <v>490</v>
      </c>
    </row>
    <row r="446" spans="1:1" x14ac:dyDescent="0.25">
      <c r="A446" t="s">
        <v>491</v>
      </c>
    </row>
    <row r="447" spans="1:1" x14ac:dyDescent="0.25">
      <c r="A447" t="s">
        <v>492</v>
      </c>
    </row>
    <row r="448" spans="1:1" x14ac:dyDescent="0.25">
      <c r="A448" t="s">
        <v>493</v>
      </c>
    </row>
    <row r="449" spans="1:1" x14ac:dyDescent="0.25">
      <c r="A449" t="s">
        <v>494</v>
      </c>
    </row>
    <row r="450" spans="1:1" x14ac:dyDescent="0.25">
      <c r="A450" t="s">
        <v>495</v>
      </c>
    </row>
    <row r="451" spans="1:1" x14ac:dyDescent="0.25">
      <c r="A451" t="s">
        <v>496</v>
      </c>
    </row>
    <row r="452" spans="1:1" x14ac:dyDescent="0.25">
      <c r="A452" t="s">
        <v>497</v>
      </c>
    </row>
    <row r="453" spans="1:1" x14ac:dyDescent="0.25">
      <c r="A453" t="s">
        <v>498</v>
      </c>
    </row>
    <row r="454" spans="1:1" x14ac:dyDescent="0.25">
      <c r="A454" t="s">
        <v>499</v>
      </c>
    </row>
    <row r="455" spans="1:1" x14ac:dyDescent="0.25">
      <c r="A455" t="s">
        <v>500</v>
      </c>
    </row>
    <row r="456" spans="1:1" x14ac:dyDescent="0.25">
      <c r="A456" t="s">
        <v>501</v>
      </c>
    </row>
    <row r="457" spans="1:1" x14ac:dyDescent="0.25">
      <c r="A457" t="s">
        <v>502</v>
      </c>
    </row>
    <row r="458" spans="1:1" x14ac:dyDescent="0.25">
      <c r="A458" t="s">
        <v>503</v>
      </c>
    </row>
    <row r="459" spans="1:1" x14ac:dyDescent="0.25">
      <c r="A459" t="s">
        <v>504</v>
      </c>
    </row>
    <row r="460" spans="1:1" x14ac:dyDescent="0.25">
      <c r="A460" t="s">
        <v>505</v>
      </c>
    </row>
  </sheetData>
  <sheetProtection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4"/>
  <sheetViews>
    <sheetView workbookViewId="0">
      <selection activeCell="D17" sqref="D17"/>
    </sheetView>
  </sheetViews>
  <sheetFormatPr baseColWidth="10" defaultRowHeight="15" x14ac:dyDescent="0.25"/>
  <cols>
    <col min="1" max="1" width="14.7109375" bestFit="1" customWidth="1"/>
  </cols>
  <sheetData>
    <row r="1" spans="1:1" x14ac:dyDescent="0.25">
      <c r="A1" t="s">
        <v>578</v>
      </c>
    </row>
    <row r="2" spans="1:1" x14ac:dyDescent="0.25">
      <c r="A2" t="s">
        <v>579</v>
      </c>
    </row>
    <row r="3" spans="1:1" x14ac:dyDescent="0.25">
      <c r="A3" t="s">
        <v>580</v>
      </c>
    </row>
    <row r="4" spans="1:1" x14ac:dyDescent="0.25">
      <c r="A4" t="s">
        <v>581</v>
      </c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2"/>
  <sheetViews>
    <sheetView workbookViewId="0">
      <selection activeCell="D17" sqref="D17"/>
    </sheetView>
  </sheetViews>
  <sheetFormatPr baseColWidth="10" defaultRowHeight="15" x14ac:dyDescent="0.25"/>
  <sheetData>
    <row r="1" spans="1:1" x14ac:dyDescent="0.25">
      <c r="A1" t="s">
        <v>506</v>
      </c>
    </row>
    <row r="2" spans="1:1" x14ac:dyDescent="0.25">
      <c r="A2" t="s">
        <v>507</v>
      </c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Q300"/>
  <sheetViews>
    <sheetView tabSelected="1" workbookViewId="0">
      <selection activeCell="P2" sqref="P2"/>
    </sheetView>
  </sheetViews>
  <sheetFormatPr baseColWidth="10" defaultRowHeight="15" x14ac:dyDescent="0.25"/>
  <cols>
    <col min="2" max="2" width="24" customWidth="1"/>
    <col min="3" max="3" width="18.140625" customWidth="1"/>
    <col min="4" max="6" width="16.28515625" customWidth="1"/>
    <col min="7" max="7" width="15.5703125" customWidth="1"/>
    <col min="9" max="9" width="22.140625" customWidth="1"/>
    <col min="10" max="10" width="13.140625" customWidth="1"/>
    <col min="11" max="11" width="20.140625" customWidth="1"/>
    <col min="12" max="12" width="17.28515625" customWidth="1"/>
    <col min="13" max="13" width="19.85546875" customWidth="1"/>
    <col min="14" max="14" width="19.7109375" customWidth="1"/>
    <col min="15" max="15" width="34.140625" customWidth="1"/>
    <col min="17" max="17" width="42.85546875" bestFit="1" customWidth="1"/>
  </cols>
  <sheetData>
    <row r="1" spans="1:17" ht="15.75" customHeight="1" x14ac:dyDescent="0.25">
      <c r="A1" s="1" t="s">
        <v>511</v>
      </c>
      <c r="B1" s="2" t="s">
        <v>512</v>
      </c>
      <c r="C1" s="2" t="s">
        <v>513</v>
      </c>
      <c r="D1" s="2" t="s">
        <v>0</v>
      </c>
      <c r="E1" s="2" t="s">
        <v>1</v>
      </c>
      <c r="F1" s="2" t="s">
        <v>2</v>
      </c>
      <c r="G1" s="2" t="s">
        <v>514</v>
      </c>
      <c r="H1" s="2" t="s">
        <v>515</v>
      </c>
      <c r="I1" s="2" t="s">
        <v>3</v>
      </c>
      <c r="J1" s="2" t="s">
        <v>516</v>
      </c>
      <c r="K1" s="2" t="s">
        <v>517</v>
      </c>
      <c r="L1" s="2" t="s">
        <v>510</v>
      </c>
      <c r="M1" s="2" t="s">
        <v>509</v>
      </c>
      <c r="N1" s="2" t="s">
        <v>4</v>
      </c>
      <c r="O1" s="3" t="s">
        <v>508</v>
      </c>
    </row>
    <row r="2" spans="1:17" ht="75" x14ac:dyDescent="0.25">
      <c r="A2" s="15" t="s">
        <v>582</v>
      </c>
      <c r="B2" s="16" t="s">
        <v>583</v>
      </c>
      <c r="C2" s="16" t="s">
        <v>584</v>
      </c>
      <c r="D2" s="16" t="s">
        <v>585</v>
      </c>
      <c r="E2" s="16" t="s">
        <v>586</v>
      </c>
      <c r="F2" s="16" t="s">
        <v>587</v>
      </c>
      <c r="G2" s="16" t="s">
        <v>506</v>
      </c>
      <c r="H2" s="17">
        <v>1</v>
      </c>
      <c r="I2" s="16"/>
      <c r="J2" s="16" t="s">
        <v>506</v>
      </c>
      <c r="K2" s="18" t="s">
        <v>588</v>
      </c>
      <c r="L2" s="19" t="s">
        <v>589</v>
      </c>
      <c r="M2" s="20">
        <v>20</v>
      </c>
      <c r="N2" s="12"/>
      <c r="O2" s="14">
        <f t="shared" ref="O2:O13" si="0">M2*N2</f>
        <v>0</v>
      </c>
      <c r="Q2" t="s">
        <v>518</v>
      </c>
    </row>
    <row r="3" spans="1:17" ht="75" x14ac:dyDescent="0.25">
      <c r="A3" s="15" t="s">
        <v>590</v>
      </c>
      <c r="B3" s="16" t="s">
        <v>591</v>
      </c>
      <c r="C3" s="16" t="s">
        <v>584</v>
      </c>
      <c r="D3" s="16" t="s">
        <v>592</v>
      </c>
      <c r="E3" s="16" t="s">
        <v>593</v>
      </c>
      <c r="F3" s="16" t="s">
        <v>587</v>
      </c>
      <c r="G3" s="16" t="s">
        <v>506</v>
      </c>
      <c r="H3" s="17">
        <v>1</v>
      </c>
      <c r="I3" s="16"/>
      <c r="J3" s="16" t="s">
        <v>506</v>
      </c>
      <c r="K3" s="18" t="s">
        <v>588</v>
      </c>
      <c r="L3" s="19" t="s">
        <v>589</v>
      </c>
      <c r="M3" s="20">
        <v>20</v>
      </c>
      <c r="N3" s="12"/>
      <c r="O3" s="14">
        <f t="shared" si="0"/>
        <v>0</v>
      </c>
    </row>
    <row r="4" spans="1:17" ht="90" x14ac:dyDescent="0.25">
      <c r="A4" s="15" t="s">
        <v>594</v>
      </c>
      <c r="B4" s="16" t="s">
        <v>595</v>
      </c>
      <c r="C4" s="16" t="s">
        <v>584</v>
      </c>
      <c r="D4" s="16" t="s">
        <v>585</v>
      </c>
      <c r="E4" s="16" t="s">
        <v>596</v>
      </c>
      <c r="F4" s="16" t="s">
        <v>587</v>
      </c>
      <c r="G4" s="16" t="s">
        <v>506</v>
      </c>
      <c r="H4" s="17">
        <v>1</v>
      </c>
      <c r="I4" s="16"/>
      <c r="J4" s="16" t="s">
        <v>506</v>
      </c>
      <c r="K4" s="18" t="s">
        <v>588</v>
      </c>
      <c r="L4" s="19" t="s">
        <v>589</v>
      </c>
      <c r="M4" s="20">
        <v>20</v>
      </c>
      <c r="N4" s="12"/>
      <c r="O4" s="14">
        <f t="shared" si="0"/>
        <v>0</v>
      </c>
    </row>
    <row r="5" spans="1:17" ht="90" x14ac:dyDescent="0.25">
      <c r="A5" s="15" t="s">
        <v>597</v>
      </c>
      <c r="B5" s="21" t="s">
        <v>598</v>
      </c>
      <c r="C5" s="19" t="s">
        <v>584</v>
      </c>
      <c r="D5" s="16" t="s">
        <v>599</v>
      </c>
      <c r="E5" s="22" t="s">
        <v>600</v>
      </c>
      <c r="F5" s="16" t="s">
        <v>587</v>
      </c>
      <c r="G5" s="19" t="s">
        <v>506</v>
      </c>
      <c r="H5" s="17">
        <v>1</v>
      </c>
      <c r="I5" s="16"/>
      <c r="J5" s="19" t="s">
        <v>506</v>
      </c>
      <c r="K5" s="15" t="s">
        <v>588</v>
      </c>
      <c r="L5" s="19" t="s">
        <v>589</v>
      </c>
      <c r="M5" s="20">
        <v>20</v>
      </c>
      <c r="N5" s="12"/>
      <c r="O5" s="14">
        <f t="shared" si="0"/>
        <v>0</v>
      </c>
    </row>
    <row r="6" spans="1:17" ht="90" x14ac:dyDescent="0.25">
      <c r="A6" s="15" t="s">
        <v>597</v>
      </c>
      <c r="B6" s="21" t="s">
        <v>601</v>
      </c>
      <c r="C6" s="19" t="s">
        <v>584</v>
      </c>
      <c r="D6" s="16" t="s">
        <v>599</v>
      </c>
      <c r="E6" s="22" t="s">
        <v>602</v>
      </c>
      <c r="F6" s="16" t="s">
        <v>587</v>
      </c>
      <c r="G6" s="19" t="s">
        <v>506</v>
      </c>
      <c r="H6" s="17">
        <v>1</v>
      </c>
      <c r="I6" s="16"/>
      <c r="J6" s="19" t="s">
        <v>506</v>
      </c>
      <c r="K6" s="15" t="s">
        <v>588</v>
      </c>
      <c r="L6" s="19" t="s">
        <v>589</v>
      </c>
      <c r="M6" s="20">
        <v>20</v>
      </c>
      <c r="N6" s="12"/>
      <c r="O6" s="14">
        <f t="shared" si="0"/>
        <v>0</v>
      </c>
    </row>
    <row r="7" spans="1:17" ht="105" x14ac:dyDescent="0.25">
      <c r="A7" s="15" t="s">
        <v>603</v>
      </c>
      <c r="B7" s="16" t="s">
        <v>604</v>
      </c>
      <c r="C7" s="16" t="s">
        <v>584</v>
      </c>
      <c r="D7" s="16" t="s">
        <v>605</v>
      </c>
      <c r="E7" s="23" t="s">
        <v>606</v>
      </c>
      <c r="F7" s="16" t="s">
        <v>607</v>
      </c>
      <c r="G7" s="16" t="s">
        <v>506</v>
      </c>
      <c r="H7" s="17">
        <v>1</v>
      </c>
      <c r="I7" s="16"/>
      <c r="J7" s="16" t="s">
        <v>506</v>
      </c>
      <c r="K7" s="18" t="s">
        <v>588</v>
      </c>
      <c r="L7" s="19" t="s">
        <v>589</v>
      </c>
      <c r="M7" s="20">
        <v>20</v>
      </c>
      <c r="N7" s="12"/>
      <c r="O7" s="14">
        <f t="shared" si="0"/>
        <v>0</v>
      </c>
    </row>
    <row r="8" spans="1:17" ht="105" x14ac:dyDescent="0.25">
      <c r="A8" s="15" t="s">
        <v>608</v>
      </c>
      <c r="B8" s="21" t="s">
        <v>609</v>
      </c>
      <c r="C8" s="19" t="s">
        <v>584</v>
      </c>
      <c r="D8" s="16" t="s">
        <v>599</v>
      </c>
      <c r="E8" s="24" t="s">
        <v>610</v>
      </c>
      <c r="F8" s="16" t="s">
        <v>611</v>
      </c>
      <c r="G8" s="19" t="s">
        <v>506</v>
      </c>
      <c r="H8" s="17">
        <v>1</v>
      </c>
      <c r="I8" s="16"/>
      <c r="J8" s="19" t="s">
        <v>506</v>
      </c>
      <c r="K8" s="15" t="s">
        <v>588</v>
      </c>
      <c r="L8" s="19" t="s">
        <v>589</v>
      </c>
      <c r="M8" s="20">
        <v>20</v>
      </c>
      <c r="N8" s="12"/>
      <c r="O8" s="14">
        <f t="shared" si="0"/>
        <v>0</v>
      </c>
    </row>
    <row r="9" spans="1:17" ht="135" x14ac:dyDescent="0.25">
      <c r="A9" s="15" t="s">
        <v>612</v>
      </c>
      <c r="B9" s="21" t="s">
        <v>613</v>
      </c>
      <c r="C9" s="19" t="s">
        <v>584</v>
      </c>
      <c r="D9" s="16" t="s">
        <v>614</v>
      </c>
      <c r="E9" s="25" t="s">
        <v>615</v>
      </c>
      <c r="F9" s="16" t="s">
        <v>587</v>
      </c>
      <c r="G9" s="19" t="s">
        <v>506</v>
      </c>
      <c r="H9" s="17">
        <v>1</v>
      </c>
      <c r="I9" s="16"/>
      <c r="J9" s="19" t="s">
        <v>506</v>
      </c>
      <c r="K9" s="21" t="s">
        <v>588</v>
      </c>
      <c r="L9" s="19" t="s">
        <v>589</v>
      </c>
      <c r="M9" s="20">
        <v>20</v>
      </c>
      <c r="N9" s="12"/>
      <c r="O9" s="14">
        <f t="shared" si="0"/>
        <v>0</v>
      </c>
    </row>
    <row r="10" spans="1:17" ht="30" x14ac:dyDescent="0.25">
      <c r="A10" s="15" t="s">
        <v>616</v>
      </c>
      <c r="B10" s="21" t="s">
        <v>617</v>
      </c>
      <c r="C10" s="19" t="s">
        <v>584</v>
      </c>
      <c r="D10" s="16" t="s">
        <v>618</v>
      </c>
      <c r="E10" s="26" t="s">
        <v>619</v>
      </c>
      <c r="F10" s="16" t="s">
        <v>611</v>
      </c>
      <c r="G10" s="19" t="s">
        <v>506</v>
      </c>
      <c r="H10" s="17">
        <v>1</v>
      </c>
      <c r="I10" s="16"/>
      <c r="J10" s="19" t="s">
        <v>506</v>
      </c>
      <c r="K10" s="21" t="s">
        <v>588</v>
      </c>
      <c r="L10" s="19" t="s">
        <v>589</v>
      </c>
      <c r="M10" s="20">
        <v>20</v>
      </c>
      <c r="N10" s="12"/>
      <c r="O10" s="14">
        <f t="shared" si="0"/>
        <v>0</v>
      </c>
    </row>
    <row r="11" spans="1:17" ht="75" x14ac:dyDescent="0.25">
      <c r="A11" s="15" t="s">
        <v>620</v>
      </c>
      <c r="B11" s="21" t="s">
        <v>621</v>
      </c>
      <c r="C11" s="19" t="s">
        <v>584</v>
      </c>
      <c r="D11" s="16" t="s">
        <v>585</v>
      </c>
      <c r="E11" s="25" t="s">
        <v>622</v>
      </c>
      <c r="F11" s="16" t="s">
        <v>611</v>
      </c>
      <c r="G11" s="19" t="s">
        <v>506</v>
      </c>
      <c r="H11" s="17">
        <v>1</v>
      </c>
      <c r="I11" s="16"/>
      <c r="J11" s="19" t="s">
        <v>506</v>
      </c>
      <c r="K11" s="21" t="s">
        <v>588</v>
      </c>
      <c r="L11" s="19" t="s">
        <v>589</v>
      </c>
      <c r="M11" s="20">
        <v>20</v>
      </c>
      <c r="N11" s="12"/>
      <c r="O11" s="14">
        <f t="shared" si="0"/>
        <v>0</v>
      </c>
    </row>
    <row r="12" spans="1:17" ht="150" x14ac:dyDescent="0.25">
      <c r="A12" s="15" t="s">
        <v>623</v>
      </c>
      <c r="B12" s="21" t="s">
        <v>624</v>
      </c>
      <c r="C12" s="19" t="s">
        <v>584</v>
      </c>
      <c r="D12" s="16" t="s">
        <v>605</v>
      </c>
      <c r="E12" s="25" t="s">
        <v>625</v>
      </c>
      <c r="F12" s="16" t="s">
        <v>626</v>
      </c>
      <c r="G12" s="19" t="s">
        <v>506</v>
      </c>
      <c r="H12" s="17">
        <v>1</v>
      </c>
      <c r="I12" s="16"/>
      <c r="J12" s="19" t="s">
        <v>506</v>
      </c>
      <c r="K12" s="21" t="s">
        <v>588</v>
      </c>
      <c r="L12" s="19" t="s">
        <v>589</v>
      </c>
      <c r="M12" s="20">
        <v>20</v>
      </c>
      <c r="N12" s="12"/>
      <c r="O12" s="14">
        <f t="shared" si="0"/>
        <v>0</v>
      </c>
    </row>
    <row r="13" spans="1:17" ht="135" x14ac:dyDescent="0.25">
      <c r="A13" s="15" t="s">
        <v>627</v>
      </c>
      <c r="B13" s="16" t="s">
        <v>628</v>
      </c>
      <c r="C13" s="16" t="s">
        <v>584</v>
      </c>
      <c r="D13" s="16" t="s">
        <v>585</v>
      </c>
      <c r="E13" s="16" t="s">
        <v>629</v>
      </c>
      <c r="F13" s="16" t="s">
        <v>626</v>
      </c>
      <c r="G13" s="16" t="s">
        <v>506</v>
      </c>
      <c r="H13" s="17">
        <v>1</v>
      </c>
      <c r="I13" s="16"/>
      <c r="J13" s="16" t="s">
        <v>506</v>
      </c>
      <c r="K13" s="18" t="s">
        <v>588</v>
      </c>
      <c r="L13" s="19" t="s">
        <v>589</v>
      </c>
      <c r="M13" s="20">
        <v>20</v>
      </c>
      <c r="N13" s="12"/>
      <c r="O13" s="14">
        <f t="shared" si="0"/>
        <v>0</v>
      </c>
    </row>
    <row r="14" spans="1:17" ht="75" x14ac:dyDescent="0.25">
      <c r="A14" s="15" t="s">
        <v>630</v>
      </c>
      <c r="B14" s="16" t="s">
        <v>631</v>
      </c>
      <c r="C14" s="16" t="s">
        <v>584</v>
      </c>
      <c r="D14" s="16" t="s">
        <v>585</v>
      </c>
      <c r="E14" s="16" t="s">
        <v>632</v>
      </c>
      <c r="F14" s="16" t="s">
        <v>626</v>
      </c>
      <c r="G14" s="16" t="s">
        <v>506</v>
      </c>
      <c r="H14" s="17">
        <v>1</v>
      </c>
      <c r="I14" s="16"/>
      <c r="J14" s="16" t="s">
        <v>506</v>
      </c>
      <c r="K14" s="18" t="s">
        <v>588</v>
      </c>
      <c r="L14" s="19" t="s">
        <v>589</v>
      </c>
      <c r="M14" s="20">
        <v>20</v>
      </c>
      <c r="N14" s="12"/>
      <c r="O14" s="14">
        <f t="shared" ref="O14:O27" si="1">M14*N14</f>
        <v>0</v>
      </c>
    </row>
    <row r="15" spans="1:17" ht="75" x14ac:dyDescent="0.25">
      <c r="A15" s="15" t="s">
        <v>630</v>
      </c>
      <c r="B15" s="16" t="s">
        <v>633</v>
      </c>
      <c r="C15" s="16" t="s">
        <v>584</v>
      </c>
      <c r="D15" s="16" t="s">
        <v>599</v>
      </c>
      <c r="E15" s="16" t="s">
        <v>634</v>
      </c>
      <c r="F15" s="16" t="s">
        <v>626</v>
      </c>
      <c r="G15" s="16" t="s">
        <v>506</v>
      </c>
      <c r="H15" s="17">
        <v>1</v>
      </c>
      <c r="I15" s="16"/>
      <c r="J15" s="16" t="s">
        <v>506</v>
      </c>
      <c r="K15" s="18" t="s">
        <v>588</v>
      </c>
      <c r="L15" s="19" t="s">
        <v>589</v>
      </c>
      <c r="M15" s="20">
        <v>20</v>
      </c>
      <c r="N15" s="12"/>
      <c r="O15" s="14">
        <f t="shared" si="1"/>
        <v>0</v>
      </c>
    </row>
    <row r="16" spans="1:17" ht="105" x14ac:dyDescent="0.25">
      <c r="A16" s="15" t="s">
        <v>630</v>
      </c>
      <c r="B16" s="16" t="s">
        <v>635</v>
      </c>
      <c r="C16" s="16" t="s">
        <v>584</v>
      </c>
      <c r="D16" s="16" t="s">
        <v>599</v>
      </c>
      <c r="E16" s="16" t="s">
        <v>636</v>
      </c>
      <c r="F16" s="16" t="s">
        <v>626</v>
      </c>
      <c r="G16" s="16" t="s">
        <v>506</v>
      </c>
      <c r="H16" s="17">
        <v>1</v>
      </c>
      <c r="I16" s="16"/>
      <c r="J16" s="16" t="s">
        <v>506</v>
      </c>
      <c r="K16" s="18" t="s">
        <v>588</v>
      </c>
      <c r="L16" s="19" t="s">
        <v>589</v>
      </c>
      <c r="M16" s="20">
        <v>20</v>
      </c>
      <c r="N16" s="12"/>
      <c r="O16" s="14">
        <f t="shared" si="1"/>
        <v>0</v>
      </c>
    </row>
    <row r="17" spans="1:15" ht="60" x14ac:dyDescent="0.25">
      <c r="A17" s="15" t="s">
        <v>630</v>
      </c>
      <c r="B17" s="16" t="s">
        <v>633</v>
      </c>
      <c r="C17" s="16" t="s">
        <v>584</v>
      </c>
      <c r="D17" s="16" t="s">
        <v>599</v>
      </c>
      <c r="E17" s="16" t="s">
        <v>637</v>
      </c>
      <c r="F17" s="16" t="s">
        <v>626</v>
      </c>
      <c r="G17" s="16" t="s">
        <v>506</v>
      </c>
      <c r="H17" s="17">
        <v>1</v>
      </c>
      <c r="I17" s="16"/>
      <c r="J17" s="16" t="s">
        <v>506</v>
      </c>
      <c r="K17" s="18" t="s">
        <v>588</v>
      </c>
      <c r="L17" s="19" t="s">
        <v>589</v>
      </c>
      <c r="M17" s="20">
        <v>20</v>
      </c>
      <c r="N17" s="12"/>
      <c r="O17" s="14">
        <f t="shared" si="1"/>
        <v>0</v>
      </c>
    </row>
    <row r="18" spans="1:15" ht="75" x14ac:dyDescent="0.25">
      <c r="A18" s="15" t="s">
        <v>638</v>
      </c>
      <c r="B18" s="16" t="s">
        <v>639</v>
      </c>
      <c r="C18" s="16" t="s">
        <v>584</v>
      </c>
      <c r="D18" s="16" t="s">
        <v>599</v>
      </c>
      <c r="E18" s="16" t="s">
        <v>640</v>
      </c>
      <c r="F18" s="16" t="s">
        <v>626</v>
      </c>
      <c r="G18" s="16" t="s">
        <v>506</v>
      </c>
      <c r="H18" s="17">
        <v>1</v>
      </c>
      <c r="I18" s="16"/>
      <c r="J18" s="16" t="s">
        <v>506</v>
      </c>
      <c r="K18" s="18" t="s">
        <v>588</v>
      </c>
      <c r="L18" s="19" t="s">
        <v>589</v>
      </c>
      <c r="M18" s="20">
        <v>20</v>
      </c>
      <c r="N18" s="12"/>
      <c r="O18" s="14">
        <f t="shared" si="1"/>
        <v>0</v>
      </c>
    </row>
    <row r="19" spans="1:15" ht="90" x14ac:dyDescent="0.25">
      <c r="A19" s="15" t="s">
        <v>641</v>
      </c>
      <c r="B19" s="16" t="s">
        <v>642</v>
      </c>
      <c r="C19" s="16" t="s">
        <v>584</v>
      </c>
      <c r="D19" s="16" t="s">
        <v>585</v>
      </c>
      <c r="E19" s="16" t="s">
        <v>643</v>
      </c>
      <c r="F19" s="16" t="s">
        <v>626</v>
      </c>
      <c r="G19" s="16" t="s">
        <v>506</v>
      </c>
      <c r="H19" s="17">
        <v>1</v>
      </c>
      <c r="I19" s="16"/>
      <c r="J19" s="16" t="s">
        <v>506</v>
      </c>
      <c r="K19" s="18" t="s">
        <v>588</v>
      </c>
      <c r="L19" s="19" t="s">
        <v>589</v>
      </c>
      <c r="M19" s="20">
        <v>20</v>
      </c>
      <c r="N19" s="12"/>
      <c r="O19" s="14">
        <f t="shared" si="1"/>
        <v>0</v>
      </c>
    </row>
    <row r="20" spans="1:15" ht="60" x14ac:dyDescent="0.25">
      <c r="A20" s="15" t="s">
        <v>644</v>
      </c>
      <c r="B20" s="16" t="s">
        <v>645</v>
      </c>
      <c r="C20" s="16" t="s">
        <v>584</v>
      </c>
      <c r="D20" s="16" t="s">
        <v>585</v>
      </c>
      <c r="E20" s="16" t="s">
        <v>646</v>
      </c>
      <c r="F20" s="16" t="s">
        <v>626</v>
      </c>
      <c r="G20" s="16" t="s">
        <v>506</v>
      </c>
      <c r="H20" s="17">
        <v>1</v>
      </c>
      <c r="I20" s="16"/>
      <c r="J20" s="16" t="s">
        <v>506</v>
      </c>
      <c r="K20" s="18" t="s">
        <v>588</v>
      </c>
      <c r="L20" s="19" t="s">
        <v>589</v>
      </c>
      <c r="M20" s="20">
        <v>20</v>
      </c>
      <c r="N20" s="12"/>
      <c r="O20" s="14">
        <f t="shared" si="1"/>
        <v>0</v>
      </c>
    </row>
    <row r="21" spans="1:15" ht="75" x14ac:dyDescent="0.25">
      <c r="A21" s="15" t="s">
        <v>647</v>
      </c>
      <c r="B21" s="16" t="s">
        <v>648</v>
      </c>
      <c r="C21" s="16" t="s">
        <v>584</v>
      </c>
      <c r="D21" s="16" t="s">
        <v>585</v>
      </c>
      <c r="E21" s="16" t="s">
        <v>649</v>
      </c>
      <c r="F21" s="16" t="s">
        <v>626</v>
      </c>
      <c r="G21" s="16" t="s">
        <v>506</v>
      </c>
      <c r="H21" s="17">
        <v>1</v>
      </c>
      <c r="I21" s="16"/>
      <c r="J21" s="16" t="s">
        <v>506</v>
      </c>
      <c r="K21" s="18" t="s">
        <v>588</v>
      </c>
      <c r="L21" s="19" t="s">
        <v>589</v>
      </c>
      <c r="M21" s="20">
        <v>20</v>
      </c>
      <c r="N21" s="12"/>
      <c r="O21" s="14">
        <f t="shared" si="1"/>
        <v>0</v>
      </c>
    </row>
    <row r="22" spans="1:15" ht="75" x14ac:dyDescent="0.25">
      <c r="A22" s="15" t="s">
        <v>650</v>
      </c>
      <c r="B22" s="21" t="s">
        <v>651</v>
      </c>
      <c r="C22" s="16" t="s">
        <v>584</v>
      </c>
      <c r="D22" s="16" t="s">
        <v>585</v>
      </c>
      <c r="E22" s="16" t="s">
        <v>652</v>
      </c>
      <c r="F22" s="16" t="s">
        <v>587</v>
      </c>
      <c r="G22" s="16" t="s">
        <v>506</v>
      </c>
      <c r="H22" s="17">
        <v>1</v>
      </c>
      <c r="I22" s="16"/>
      <c r="J22" s="16" t="s">
        <v>506</v>
      </c>
      <c r="K22" s="27" t="s">
        <v>588</v>
      </c>
      <c r="L22" s="19" t="s">
        <v>589</v>
      </c>
      <c r="M22" s="20">
        <v>20</v>
      </c>
      <c r="N22" s="12"/>
      <c r="O22" s="14">
        <f t="shared" si="1"/>
        <v>0</v>
      </c>
    </row>
    <row r="23" spans="1:15" ht="75" x14ac:dyDescent="0.25">
      <c r="A23" s="15" t="s">
        <v>650</v>
      </c>
      <c r="B23" s="21" t="s">
        <v>653</v>
      </c>
      <c r="C23" s="16" t="s">
        <v>584</v>
      </c>
      <c r="D23" s="16" t="s">
        <v>599</v>
      </c>
      <c r="E23" s="16" t="s">
        <v>654</v>
      </c>
      <c r="F23" s="16" t="s">
        <v>587</v>
      </c>
      <c r="G23" s="16" t="s">
        <v>506</v>
      </c>
      <c r="H23" s="17">
        <v>1</v>
      </c>
      <c r="I23" s="16"/>
      <c r="J23" s="16" t="s">
        <v>506</v>
      </c>
      <c r="K23" s="27" t="s">
        <v>588</v>
      </c>
      <c r="L23" s="19" t="s">
        <v>589</v>
      </c>
      <c r="M23" s="20">
        <v>20</v>
      </c>
      <c r="N23" s="12"/>
      <c r="O23" s="14">
        <f t="shared" si="1"/>
        <v>0</v>
      </c>
    </row>
    <row r="24" spans="1:15" ht="75" x14ac:dyDescent="0.25">
      <c r="A24" s="15" t="s">
        <v>655</v>
      </c>
      <c r="B24" s="16" t="s">
        <v>656</v>
      </c>
      <c r="C24" s="16" t="s">
        <v>584</v>
      </c>
      <c r="D24" s="16" t="s">
        <v>585</v>
      </c>
      <c r="E24" s="16" t="s">
        <v>657</v>
      </c>
      <c r="F24" s="16" t="s">
        <v>587</v>
      </c>
      <c r="G24" s="16" t="s">
        <v>506</v>
      </c>
      <c r="H24" s="17">
        <v>1</v>
      </c>
      <c r="I24" s="16"/>
      <c r="J24" s="16" t="s">
        <v>506</v>
      </c>
      <c r="K24" s="18" t="s">
        <v>588</v>
      </c>
      <c r="L24" s="19" t="s">
        <v>589</v>
      </c>
      <c r="M24" s="20">
        <v>20</v>
      </c>
      <c r="N24" s="12"/>
      <c r="O24" s="14">
        <f t="shared" si="1"/>
        <v>0</v>
      </c>
    </row>
    <row r="25" spans="1:15" ht="75" x14ac:dyDescent="0.25">
      <c r="A25" s="15" t="s">
        <v>655</v>
      </c>
      <c r="B25" s="16" t="s">
        <v>658</v>
      </c>
      <c r="C25" s="16" t="s">
        <v>584</v>
      </c>
      <c r="D25" s="16" t="s">
        <v>585</v>
      </c>
      <c r="E25" s="16" t="s">
        <v>659</v>
      </c>
      <c r="F25" s="16" t="s">
        <v>587</v>
      </c>
      <c r="G25" s="16" t="s">
        <v>506</v>
      </c>
      <c r="H25" s="17">
        <v>1</v>
      </c>
      <c r="I25" s="16"/>
      <c r="J25" s="16" t="s">
        <v>506</v>
      </c>
      <c r="K25" s="18" t="s">
        <v>588</v>
      </c>
      <c r="L25" s="19" t="s">
        <v>589</v>
      </c>
      <c r="M25" s="20">
        <v>20</v>
      </c>
      <c r="N25" s="12"/>
      <c r="O25" s="14">
        <f t="shared" si="1"/>
        <v>0</v>
      </c>
    </row>
    <row r="26" spans="1:15" ht="105" x14ac:dyDescent="0.25">
      <c r="A26" s="15" t="s">
        <v>660</v>
      </c>
      <c r="B26" s="21" t="s">
        <v>661</v>
      </c>
      <c r="C26" s="16" t="s">
        <v>584</v>
      </c>
      <c r="D26" s="16" t="s">
        <v>662</v>
      </c>
      <c r="E26" s="16" t="s">
        <v>663</v>
      </c>
      <c r="F26" s="16" t="s">
        <v>587</v>
      </c>
      <c r="G26" s="16" t="s">
        <v>506</v>
      </c>
      <c r="H26" s="17">
        <v>1</v>
      </c>
      <c r="I26" s="16"/>
      <c r="J26" s="16" t="s">
        <v>506</v>
      </c>
      <c r="K26" s="27" t="s">
        <v>588</v>
      </c>
      <c r="L26" s="19" t="s">
        <v>589</v>
      </c>
      <c r="M26" s="20">
        <v>20</v>
      </c>
      <c r="N26" s="12"/>
      <c r="O26" s="14">
        <f t="shared" si="1"/>
        <v>0</v>
      </c>
    </row>
    <row r="27" spans="1:15" ht="45" x14ac:dyDescent="0.25">
      <c r="A27" s="15" t="s">
        <v>664</v>
      </c>
      <c r="B27" s="21" t="s">
        <v>665</v>
      </c>
      <c r="C27" s="19" t="s">
        <v>584</v>
      </c>
      <c r="D27" s="16" t="s">
        <v>585</v>
      </c>
      <c r="E27" s="28" t="s">
        <v>666</v>
      </c>
      <c r="F27" s="16" t="s">
        <v>626</v>
      </c>
      <c r="G27" s="19" t="s">
        <v>506</v>
      </c>
      <c r="H27" s="17">
        <v>1</v>
      </c>
      <c r="I27" s="16"/>
      <c r="J27" s="19" t="s">
        <v>506</v>
      </c>
      <c r="K27" s="15" t="s">
        <v>588</v>
      </c>
      <c r="L27" s="19" t="s">
        <v>589</v>
      </c>
      <c r="M27" s="20">
        <v>20</v>
      </c>
      <c r="N27" s="12"/>
      <c r="O27" s="14">
        <f t="shared" si="1"/>
        <v>0</v>
      </c>
    </row>
    <row r="28" spans="1:15" ht="45" x14ac:dyDescent="0.25">
      <c r="A28" s="15" t="s">
        <v>664</v>
      </c>
      <c r="B28" s="21" t="s">
        <v>667</v>
      </c>
      <c r="C28" s="19" t="s">
        <v>584</v>
      </c>
      <c r="D28" s="16" t="s">
        <v>585</v>
      </c>
      <c r="E28" s="28" t="s">
        <v>668</v>
      </c>
      <c r="F28" s="16" t="s">
        <v>626</v>
      </c>
      <c r="G28" s="19" t="s">
        <v>506</v>
      </c>
      <c r="H28" s="17">
        <v>1</v>
      </c>
      <c r="I28" s="16"/>
      <c r="J28" s="19" t="s">
        <v>506</v>
      </c>
      <c r="K28" s="15" t="s">
        <v>588</v>
      </c>
      <c r="L28" s="19" t="s">
        <v>589</v>
      </c>
      <c r="M28" s="20">
        <v>20</v>
      </c>
      <c r="N28" s="12"/>
      <c r="O28" s="14">
        <f t="shared" ref="O28:O65" si="2">M28*N28</f>
        <v>0</v>
      </c>
    </row>
    <row r="29" spans="1:15" ht="45" x14ac:dyDescent="0.25">
      <c r="A29" s="15" t="s">
        <v>664</v>
      </c>
      <c r="B29" s="21" t="s">
        <v>669</v>
      </c>
      <c r="C29" s="19" t="s">
        <v>584</v>
      </c>
      <c r="D29" s="16" t="s">
        <v>585</v>
      </c>
      <c r="E29" s="28" t="s">
        <v>670</v>
      </c>
      <c r="F29" s="16" t="s">
        <v>626</v>
      </c>
      <c r="G29" s="19" t="s">
        <v>506</v>
      </c>
      <c r="H29" s="17">
        <v>1</v>
      </c>
      <c r="I29" s="16"/>
      <c r="J29" s="19" t="s">
        <v>506</v>
      </c>
      <c r="K29" s="15" t="s">
        <v>588</v>
      </c>
      <c r="L29" s="19" t="s">
        <v>589</v>
      </c>
      <c r="M29" s="20">
        <v>20</v>
      </c>
      <c r="N29" s="12"/>
      <c r="O29" s="14">
        <f t="shared" si="2"/>
        <v>0</v>
      </c>
    </row>
    <row r="30" spans="1:15" ht="45" x14ac:dyDescent="0.25">
      <c r="A30" s="15" t="s">
        <v>664</v>
      </c>
      <c r="B30" s="21" t="s">
        <v>671</v>
      </c>
      <c r="C30" s="19" t="s">
        <v>584</v>
      </c>
      <c r="D30" s="16" t="s">
        <v>585</v>
      </c>
      <c r="E30" s="28" t="s">
        <v>672</v>
      </c>
      <c r="F30" s="16" t="s">
        <v>626</v>
      </c>
      <c r="G30" s="19" t="s">
        <v>506</v>
      </c>
      <c r="H30" s="17">
        <v>1</v>
      </c>
      <c r="I30" s="16"/>
      <c r="J30" s="19" t="s">
        <v>506</v>
      </c>
      <c r="K30" s="15" t="s">
        <v>588</v>
      </c>
      <c r="L30" s="19" t="s">
        <v>589</v>
      </c>
      <c r="M30" s="20">
        <v>20</v>
      </c>
      <c r="N30" s="12"/>
      <c r="O30" s="14">
        <f t="shared" si="2"/>
        <v>0</v>
      </c>
    </row>
    <row r="31" spans="1:15" ht="45" x14ac:dyDescent="0.25">
      <c r="A31" s="15" t="s">
        <v>664</v>
      </c>
      <c r="B31" s="21" t="s">
        <v>673</v>
      </c>
      <c r="C31" s="19" t="s">
        <v>584</v>
      </c>
      <c r="D31" s="16" t="s">
        <v>585</v>
      </c>
      <c r="E31" s="28" t="s">
        <v>674</v>
      </c>
      <c r="F31" s="16" t="s">
        <v>626</v>
      </c>
      <c r="G31" s="19" t="s">
        <v>506</v>
      </c>
      <c r="H31" s="17">
        <v>1</v>
      </c>
      <c r="I31" s="16"/>
      <c r="J31" s="19" t="s">
        <v>506</v>
      </c>
      <c r="K31" s="15" t="s">
        <v>588</v>
      </c>
      <c r="L31" s="19" t="s">
        <v>589</v>
      </c>
      <c r="M31" s="20">
        <v>20</v>
      </c>
      <c r="N31" s="12"/>
      <c r="O31" s="14">
        <f t="shared" si="2"/>
        <v>0</v>
      </c>
    </row>
    <row r="32" spans="1:15" ht="30" x14ac:dyDescent="0.25">
      <c r="A32" s="15" t="s">
        <v>675</v>
      </c>
      <c r="B32" s="21" t="s">
        <v>676</v>
      </c>
      <c r="C32" s="19" t="s">
        <v>584</v>
      </c>
      <c r="D32" s="16" t="s">
        <v>585</v>
      </c>
      <c r="E32" s="29" t="s">
        <v>677</v>
      </c>
      <c r="F32" s="16" t="s">
        <v>587</v>
      </c>
      <c r="G32" s="19" t="s">
        <v>506</v>
      </c>
      <c r="H32" s="17">
        <v>1</v>
      </c>
      <c r="I32" s="16"/>
      <c r="J32" s="19" t="s">
        <v>506</v>
      </c>
      <c r="K32" s="15" t="s">
        <v>588</v>
      </c>
      <c r="L32" s="19" t="s">
        <v>589</v>
      </c>
      <c r="M32" s="20">
        <v>20</v>
      </c>
      <c r="N32" s="12"/>
      <c r="O32" s="14">
        <f t="shared" si="2"/>
        <v>0</v>
      </c>
    </row>
    <row r="33" spans="1:15" ht="30" x14ac:dyDescent="0.25">
      <c r="A33" s="15" t="s">
        <v>678</v>
      </c>
      <c r="B33" s="21" t="s">
        <v>679</v>
      </c>
      <c r="C33" s="19" t="s">
        <v>584</v>
      </c>
      <c r="D33" s="16" t="s">
        <v>662</v>
      </c>
      <c r="E33" s="29" t="s">
        <v>680</v>
      </c>
      <c r="F33" s="16" t="s">
        <v>587</v>
      </c>
      <c r="G33" s="19" t="s">
        <v>506</v>
      </c>
      <c r="H33" s="17">
        <v>1</v>
      </c>
      <c r="I33" s="16"/>
      <c r="J33" s="19" t="s">
        <v>506</v>
      </c>
      <c r="K33" s="15" t="s">
        <v>588</v>
      </c>
      <c r="L33" s="19" t="s">
        <v>589</v>
      </c>
      <c r="M33" s="20">
        <v>20</v>
      </c>
      <c r="N33" s="12"/>
      <c r="O33" s="14">
        <f t="shared" si="2"/>
        <v>0</v>
      </c>
    </row>
    <row r="34" spans="1:15" ht="105" x14ac:dyDescent="0.25">
      <c r="A34" s="15" t="s">
        <v>681</v>
      </c>
      <c r="B34" s="21" t="s">
        <v>682</v>
      </c>
      <c r="C34" s="19" t="s">
        <v>584</v>
      </c>
      <c r="D34" s="16" t="s">
        <v>662</v>
      </c>
      <c r="E34" s="26" t="s">
        <v>683</v>
      </c>
      <c r="F34" s="16" t="s">
        <v>587</v>
      </c>
      <c r="G34" s="19" t="s">
        <v>506</v>
      </c>
      <c r="H34" s="17">
        <v>1</v>
      </c>
      <c r="I34" s="16"/>
      <c r="J34" s="19" t="s">
        <v>506</v>
      </c>
      <c r="K34" s="21" t="s">
        <v>588</v>
      </c>
      <c r="L34" s="19" t="s">
        <v>589</v>
      </c>
      <c r="M34" s="20">
        <v>20</v>
      </c>
      <c r="N34" s="12"/>
      <c r="O34" s="14">
        <f t="shared" si="2"/>
        <v>0</v>
      </c>
    </row>
    <row r="35" spans="1:15" ht="75" x14ac:dyDescent="0.25">
      <c r="A35" s="15" t="s">
        <v>684</v>
      </c>
      <c r="B35" s="21" t="s">
        <v>685</v>
      </c>
      <c r="C35" s="19" t="s">
        <v>584</v>
      </c>
      <c r="D35" s="16" t="s">
        <v>585</v>
      </c>
      <c r="E35" s="25" t="s">
        <v>686</v>
      </c>
      <c r="F35" s="16" t="s">
        <v>607</v>
      </c>
      <c r="G35" s="19" t="s">
        <v>506</v>
      </c>
      <c r="H35" s="17">
        <v>1</v>
      </c>
      <c r="I35" s="16"/>
      <c r="J35" s="19" t="s">
        <v>506</v>
      </c>
      <c r="K35" s="21" t="s">
        <v>588</v>
      </c>
      <c r="L35" s="19" t="s">
        <v>589</v>
      </c>
      <c r="M35" s="20">
        <v>20</v>
      </c>
      <c r="N35" s="12"/>
      <c r="O35" s="14">
        <f t="shared" si="2"/>
        <v>0</v>
      </c>
    </row>
    <row r="36" spans="1:15" ht="60" x14ac:dyDescent="0.25">
      <c r="A36" s="15" t="s">
        <v>687</v>
      </c>
      <c r="B36" s="21" t="s">
        <v>688</v>
      </c>
      <c r="C36" s="19" t="s">
        <v>584</v>
      </c>
      <c r="D36" s="16" t="s">
        <v>585</v>
      </c>
      <c r="E36" s="25" t="s">
        <v>689</v>
      </c>
      <c r="F36" s="16" t="s">
        <v>587</v>
      </c>
      <c r="G36" s="19" t="s">
        <v>506</v>
      </c>
      <c r="H36" s="17">
        <v>1</v>
      </c>
      <c r="I36" s="16"/>
      <c r="J36" s="19" t="s">
        <v>506</v>
      </c>
      <c r="K36" s="21" t="s">
        <v>588</v>
      </c>
      <c r="L36" s="19" t="s">
        <v>589</v>
      </c>
      <c r="M36" s="20">
        <v>20</v>
      </c>
      <c r="N36" s="12"/>
      <c r="O36" s="14">
        <f t="shared" si="2"/>
        <v>0</v>
      </c>
    </row>
    <row r="37" spans="1:15" ht="90" x14ac:dyDescent="0.25">
      <c r="A37" s="15" t="s">
        <v>690</v>
      </c>
      <c r="B37" s="21" t="s">
        <v>691</v>
      </c>
      <c r="C37" s="19" t="s">
        <v>584</v>
      </c>
      <c r="D37" s="16" t="s">
        <v>692</v>
      </c>
      <c r="E37" s="25" t="s">
        <v>693</v>
      </c>
      <c r="F37" s="16" t="s">
        <v>587</v>
      </c>
      <c r="G37" s="19" t="s">
        <v>506</v>
      </c>
      <c r="H37" s="17">
        <v>1</v>
      </c>
      <c r="I37" s="16"/>
      <c r="J37" s="19" t="s">
        <v>506</v>
      </c>
      <c r="K37" s="21" t="s">
        <v>588</v>
      </c>
      <c r="L37" s="19" t="s">
        <v>589</v>
      </c>
      <c r="M37" s="20">
        <v>20</v>
      </c>
      <c r="N37" s="12"/>
      <c r="O37" s="14">
        <f t="shared" si="2"/>
        <v>0</v>
      </c>
    </row>
    <row r="38" spans="1:15" ht="90" x14ac:dyDescent="0.25">
      <c r="A38" s="15" t="s">
        <v>694</v>
      </c>
      <c r="B38" s="21" t="s">
        <v>695</v>
      </c>
      <c r="C38" s="19" t="s">
        <v>584</v>
      </c>
      <c r="D38" s="16" t="s">
        <v>696</v>
      </c>
      <c r="E38" s="25" t="s">
        <v>697</v>
      </c>
      <c r="F38" s="16" t="s">
        <v>587</v>
      </c>
      <c r="G38" s="19" t="s">
        <v>506</v>
      </c>
      <c r="H38" s="17">
        <v>1</v>
      </c>
      <c r="I38" s="16"/>
      <c r="J38" s="19" t="s">
        <v>506</v>
      </c>
      <c r="K38" s="21" t="s">
        <v>588</v>
      </c>
      <c r="L38" s="19" t="s">
        <v>589</v>
      </c>
      <c r="M38" s="20">
        <v>20</v>
      </c>
      <c r="N38" s="12"/>
      <c r="O38" s="14">
        <f t="shared" si="2"/>
        <v>0</v>
      </c>
    </row>
    <row r="39" spans="1:15" ht="75" x14ac:dyDescent="0.25">
      <c r="A39" s="15" t="s">
        <v>694</v>
      </c>
      <c r="B39" s="21" t="s">
        <v>698</v>
      </c>
      <c r="C39" s="19" t="s">
        <v>584</v>
      </c>
      <c r="D39" s="16" t="s">
        <v>696</v>
      </c>
      <c r="E39" s="25" t="s">
        <v>699</v>
      </c>
      <c r="F39" s="16" t="s">
        <v>587</v>
      </c>
      <c r="G39" s="19" t="s">
        <v>506</v>
      </c>
      <c r="H39" s="17">
        <v>1</v>
      </c>
      <c r="I39" s="16"/>
      <c r="J39" s="19" t="s">
        <v>506</v>
      </c>
      <c r="K39" s="21" t="s">
        <v>588</v>
      </c>
      <c r="L39" s="19" t="s">
        <v>589</v>
      </c>
      <c r="M39" s="20">
        <v>20</v>
      </c>
      <c r="N39" s="12"/>
      <c r="O39" s="14">
        <f t="shared" si="2"/>
        <v>0</v>
      </c>
    </row>
    <row r="40" spans="1:15" ht="90" x14ac:dyDescent="0.25">
      <c r="A40" s="15" t="s">
        <v>700</v>
      </c>
      <c r="B40" s="21" t="s">
        <v>701</v>
      </c>
      <c r="C40" s="19" t="s">
        <v>584</v>
      </c>
      <c r="D40" s="16" t="s">
        <v>605</v>
      </c>
      <c r="E40" s="25" t="s">
        <v>702</v>
      </c>
      <c r="F40" s="16" t="s">
        <v>611</v>
      </c>
      <c r="G40" s="19" t="s">
        <v>506</v>
      </c>
      <c r="H40" s="17">
        <v>1</v>
      </c>
      <c r="I40" s="16"/>
      <c r="J40" s="19" t="s">
        <v>506</v>
      </c>
      <c r="K40" s="21" t="s">
        <v>588</v>
      </c>
      <c r="L40" s="19" t="s">
        <v>589</v>
      </c>
      <c r="M40" s="20">
        <v>20</v>
      </c>
      <c r="N40" s="12"/>
      <c r="O40" s="14">
        <f t="shared" si="2"/>
        <v>0</v>
      </c>
    </row>
    <row r="41" spans="1:15" ht="120" x14ac:dyDescent="0.25">
      <c r="A41" s="15" t="s">
        <v>703</v>
      </c>
      <c r="B41" s="21" t="s">
        <v>704</v>
      </c>
      <c r="C41" s="19" t="s">
        <v>584</v>
      </c>
      <c r="D41" s="16" t="s">
        <v>605</v>
      </c>
      <c r="E41" s="25" t="s">
        <v>705</v>
      </c>
      <c r="F41" s="16" t="s">
        <v>611</v>
      </c>
      <c r="G41" s="19" t="s">
        <v>506</v>
      </c>
      <c r="H41" s="17">
        <v>1</v>
      </c>
      <c r="I41" s="16"/>
      <c r="J41" s="19" t="s">
        <v>506</v>
      </c>
      <c r="K41" s="21" t="s">
        <v>588</v>
      </c>
      <c r="L41" s="19" t="s">
        <v>589</v>
      </c>
      <c r="M41" s="20">
        <v>20</v>
      </c>
      <c r="N41" s="12"/>
      <c r="O41" s="14">
        <f t="shared" si="2"/>
        <v>0</v>
      </c>
    </row>
    <row r="42" spans="1:15" ht="90" x14ac:dyDescent="0.25">
      <c r="A42" s="15" t="s">
        <v>558</v>
      </c>
      <c r="B42" s="21" t="s">
        <v>706</v>
      </c>
      <c r="C42" s="19" t="s">
        <v>584</v>
      </c>
      <c r="D42" s="16" t="s">
        <v>585</v>
      </c>
      <c r="E42" s="25" t="s">
        <v>707</v>
      </c>
      <c r="F42" s="16" t="s">
        <v>607</v>
      </c>
      <c r="G42" s="19" t="s">
        <v>506</v>
      </c>
      <c r="H42" s="17">
        <v>1</v>
      </c>
      <c r="I42" s="16"/>
      <c r="J42" s="19" t="s">
        <v>506</v>
      </c>
      <c r="K42" s="21" t="s">
        <v>588</v>
      </c>
      <c r="L42" s="19" t="s">
        <v>589</v>
      </c>
      <c r="M42" s="20">
        <v>20</v>
      </c>
      <c r="N42" s="12"/>
      <c r="O42" s="14">
        <f t="shared" si="2"/>
        <v>0</v>
      </c>
    </row>
    <row r="43" spans="1:15" ht="75" x14ac:dyDescent="0.25">
      <c r="A43" s="15" t="s">
        <v>708</v>
      </c>
      <c r="B43" s="21" t="s">
        <v>709</v>
      </c>
      <c r="C43" s="19" t="s">
        <v>584</v>
      </c>
      <c r="D43" s="16" t="s">
        <v>585</v>
      </c>
      <c r="E43" s="25" t="s">
        <v>710</v>
      </c>
      <c r="F43" s="16" t="s">
        <v>626</v>
      </c>
      <c r="G43" s="19" t="s">
        <v>506</v>
      </c>
      <c r="H43" s="17">
        <v>1</v>
      </c>
      <c r="I43" s="16"/>
      <c r="J43" s="19" t="s">
        <v>506</v>
      </c>
      <c r="K43" s="21" t="s">
        <v>588</v>
      </c>
      <c r="L43" s="19" t="s">
        <v>589</v>
      </c>
      <c r="M43" s="20">
        <v>20</v>
      </c>
      <c r="N43" s="12"/>
      <c r="O43" s="14">
        <f t="shared" si="2"/>
        <v>0</v>
      </c>
    </row>
    <row r="44" spans="1:15" ht="75" x14ac:dyDescent="0.25">
      <c r="A44" s="15" t="s">
        <v>708</v>
      </c>
      <c r="B44" s="21" t="s">
        <v>711</v>
      </c>
      <c r="C44" s="19" t="s">
        <v>584</v>
      </c>
      <c r="D44" s="16" t="s">
        <v>585</v>
      </c>
      <c r="E44" s="25" t="s">
        <v>710</v>
      </c>
      <c r="F44" s="16" t="s">
        <v>626</v>
      </c>
      <c r="G44" s="19" t="s">
        <v>506</v>
      </c>
      <c r="H44" s="17">
        <v>1</v>
      </c>
      <c r="I44" s="16"/>
      <c r="J44" s="19" t="s">
        <v>506</v>
      </c>
      <c r="K44" s="21" t="s">
        <v>588</v>
      </c>
      <c r="L44" s="19" t="s">
        <v>589</v>
      </c>
      <c r="M44" s="20">
        <v>20</v>
      </c>
      <c r="N44" s="12"/>
      <c r="O44" s="14">
        <f t="shared" si="2"/>
        <v>0</v>
      </c>
    </row>
    <row r="45" spans="1:15" ht="135" x14ac:dyDescent="0.25">
      <c r="A45" s="15" t="s">
        <v>712</v>
      </c>
      <c r="B45" s="21" t="s">
        <v>713</v>
      </c>
      <c r="C45" s="19" t="s">
        <v>584</v>
      </c>
      <c r="D45" s="16" t="s">
        <v>585</v>
      </c>
      <c r="E45" s="25" t="s">
        <v>714</v>
      </c>
      <c r="F45" s="16" t="s">
        <v>626</v>
      </c>
      <c r="G45" s="19" t="s">
        <v>506</v>
      </c>
      <c r="H45" s="17">
        <v>1</v>
      </c>
      <c r="I45" s="16"/>
      <c r="J45" s="19" t="s">
        <v>506</v>
      </c>
      <c r="K45" s="21" t="s">
        <v>588</v>
      </c>
      <c r="L45" s="19" t="s">
        <v>589</v>
      </c>
      <c r="M45" s="20">
        <v>20</v>
      </c>
      <c r="N45" s="12"/>
      <c r="O45" s="14">
        <f t="shared" si="2"/>
        <v>0</v>
      </c>
    </row>
    <row r="46" spans="1:15" ht="90" x14ac:dyDescent="0.25">
      <c r="A46" s="15" t="s">
        <v>715</v>
      </c>
      <c r="B46" s="21" t="s">
        <v>716</v>
      </c>
      <c r="C46" s="19" t="s">
        <v>584</v>
      </c>
      <c r="D46" s="16" t="s">
        <v>599</v>
      </c>
      <c r="E46" s="25" t="s">
        <v>717</v>
      </c>
      <c r="F46" s="16" t="s">
        <v>587</v>
      </c>
      <c r="G46" s="19" t="s">
        <v>506</v>
      </c>
      <c r="H46" s="17">
        <v>1</v>
      </c>
      <c r="I46" s="16"/>
      <c r="J46" s="19" t="s">
        <v>506</v>
      </c>
      <c r="K46" s="21" t="s">
        <v>588</v>
      </c>
      <c r="L46" s="19" t="s">
        <v>589</v>
      </c>
      <c r="M46" s="20">
        <v>20</v>
      </c>
      <c r="N46" s="12"/>
      <c r="O46" s="14">
        <f t="shared" si="2"/>
        <v>0</v>
      </c>
    </row>
    <row r="47" spans="1:15" ht="75" x14ac:dyDescent="0.25">
      <c r="A47" s="15" t="s">
        <v>718</v>
      </c>
      <c r="B47" s="21" t="s">
        <v>719</v>
      </c>
      <c r="C47" s="19" t="s">
        <v>584</v>
      </c>
      <c r="D47" s="16" t="s">
        <v>585</v>
      </c>
      <c r="E47" s="25" t="s">
        <v>720</v>
      </c>
      <c r="F47" s="16" t="s">
        <v>611</v>
      </c>
      <c r="G47" s="19" t="s">
        <v>506</v>
      </c>
      <c r="H47" s="17">
        <v>1</v>
      </c>
      <c r="I47" s="16"/>
      <c r="J47" s="19" t="s">
        <v>506</v>
      </c>
      <c r="K47" s="21" t="s">
        <v>588</v>
      </c>
      <c r="L47" s="19" t="s">
        <v>589</v>
      </c>
      <c r="M47" s="20">
        <v>20</v>
      </c>
      <c r="N47" s="12"/>
      <c r="O47" s="14">
        <f t="shared" si="2"/>
        <v>0</v>
      </c>
    </row>
    <row r="48" spans="1:15" ht="60" x14ac:dyDescent="0.25">
      <c r="A48" s="15" t="s">
        <v>721</v>
      </c>
      <c r="B48" s="21" t="s">
        <v>722</v>
      </c>
      <c r="C48" s="19" t="s">
        <v>584</v>
      </c>
      <c r="D48" s="16" t="s">
        <v>585</v>
      </c>
      <c r="E48" s="25" t="s">
        <v>723</v>
      </c>
      <c r="F48" s="16" t="s">
        <v>611</v>
      </c>
      <c r="G48" s="19" t="s">
        <v>506</v>
      </c>
      <c r="H48" s="17">
        <v>1</v>
      </c>
      <c r="I48" s="16"/>
      <c r="J48" s="19" t="s">
        <v>506</v>
      </c>
      <c r="K48" s="21" t="s">
        <v>588</v>
      </c>
      <c r="L48" s="19" t="s">
        <v>589</v>
      </c>
      <c r="M48" s="20">
        <v>20</v>
      </c>
      <c r="N48" s="12"/>
      <c r="O48" s="14">
        <f t="shared" si="2"/>
        <v>0</v>
      </c>
    </row>
    <row r="49" spans="1:15" ht="105" x14ac:dyDescent="0.25">
      <c r="A49" s="15" t="s">
        <v>588</v>
      </c>
      <c r="B49" s="21" t="s">
        <v>724</v>
      </c>
      <c r="C49" s="19" t="s">
        <v>584</v>
      </c>
      <c r="D49" s="16" t="s">
        <v>662</v>
      </c>
      <c r="E49" s="25" t="s">
        <v>725</v>
      </c>
      <c r="F49" s="16" t="s">
        <v>611</v>
      </c>
      <c r="G49" s="19" t="s">
        <v>506</v>
      </c>
      <c r="H49" s="17">
        <v>1</v>
      </c>
      <c r="I49" s="16"/>
      <c r="J49" s="19" t="s">
        <v>506</v>
      </c>
      <c r="K49" s="21" t="s">
        <v>588</v>
      </c>
      <c r="L49" s="19" t="s">
        <v>589</v>
      </c>
      <c r="M49" s="20">
        <v>20</v>
      </c>
      <c r="N49" s="12"/>
      <c r="O49" s="14">
        <f t="shared" si="2"/>
        <v>0</v>
      </c>
    </row>
    <row r="50" spans="1:15" ht="105" x14ac:dyDescent="0.25">
      <c r="A50" s="15" t="s">
        <v>588</v>
      </c>
      <c r="B50" s="21" t="s">
        <v>726</v>
      </c>
      <c r="C50" s="19" t="s">
        <v>584</v>
      </c>
      <c r="D50" s="16" t="s">
        <v>585</v>
      </c>
      <c r="E50" s="25" t="s">
        <v>727</v>
      </c>
      <c r="F50" s="16" t="s">
        <v>587</v>
      </c>
      <c r="G50" s="19" t="s">
        <v>506</v>
      </c>
      <c r="H50" s="17">
        <v>1</v>
      </c>
      <c r="I50" s="16"/>
      <c r="J50" s="19" t="s">
        <v>506</v>
      </c>
      <c r="K50" s="21" t="s">
        <v>588</v>
      </c>
      <c r="L50" s="19" t="s">
        <v>589</v>
      </c>
      <c r="M50" s="20">
        <v>20</v>
      </c>
      <c r="N50" s="12"/>
      <c r="O50" s="14">
        <f t="shared" si="2"/>
        <v>0</v>
      </c>
    </row>
    <row r="51" spans="1:15" ht="90" x14ac:dyDescent="0.25">
      <c r="A51" s="15" t="s">
        <v>728</v>
      </c>
      <c r="B51" s="21" t="s">
        <v>729</v>
      </c>
      <c r="C51" s="19" t="s">
        <v>584</v>
      </c>
      <c r="D51" s="16" t="s">
        <v>585</v>
      </c>
      <c r="E51" s="25" t="s">
        <v>730</v>
      </c>
      <c r="F51" s="16" t="s">
        <v>626</v>
      </c>
      <c r="G51" s="19" t="s">
        <v>506</v>
      </c>
      <c r="H51" s="17">
        <v>1</v>
      </c>
      <c r="I51" s="16"/>
      <c r="J51" s="19" t="s">
        <v>506</v>
      </c>
      <c r="K51" s="21" t="s">
        <v>588</v>
      </c>
      <c r="L51" s="19" t="s">
        <v>589</v>
      </c>
      <c r="M51" s="20">
        <v>20</v>
      </c>
      <c r="N51" s="12"/>
      <c r="O51" s="14">
        <f t="shared" si="2"/>
        <v>0</v>
      </c>
    </row>
    <row r="52" spans="1:15" ht="75" x14ac:dyDescent="0.25">
      <c r="A52" s="15" t="s">
        <v>728</v>
      </c>
      <c r="B52" s="21" t="s">
        <v>731</v>
      </c>
      <c r="C52" s="16" t="s">
        <v>584</v>
      </c>
      <c r="D52" s="16" t="s">
        <v>585</v>
      </c>
      <c r="E52" s="16" t="s">
        <v>732</v>
      </c>
      <c r="F52" s="16" t="s">
        <v>611</v>
      </c>
      <c r="G52" s="16" t="s">
        <v>506</v>
      </c>
      <c r="H52" s="17">
        <v>1</v>
      </c>
      <c r="I52" s="16"/>
      <c r="J52" s="16" t="s">
        <v>506</v>
      </c>
      <c r="K52" s="27" t="s">
        <v>588</v>
      </c>
      <c r="L52" s="19" t="s">
        <v>589</v>
      </c>
      <c r="M52" s="20">
        <v>20</v>
      </c>
      <c r="N52" s="12"/>
      <c r="O52" s="14">
        <f t="shared" si="2"/>
        <v>0</v>
      </c>
    </row>
    <row r="53" spans="1:15" ht="30" x14ac:dyDescent="0.25">
      <c r="A53" s="30" t="s">
        <v>733</v>
      </c>
      <c r="B53" s="31" t="s">
        <v>734</v>
      </c>
      <c r="C53" s="32" t="s">
        <v>584</v>
      </c>
      <c r="D53" s="32" t="s">
        <v>585</v>
      </c>
      <c r="E53" s="32" t="s">
        <v>735</v>
      </c>
      <c r="F53" s="32" t="s">
        <v>611</v>
      </c>
      <c r="G53" s="32" t="s">
        <v>506</v>
      </c>
      <c r="H53" s="17">
        <v>1</v>
      </c>
      <c r="I53" s="16"/>
      <c r="J53" s="32" t="s">
        <v>506</v>
      </c>
      <c r="K53" s="27" t="s">
        <v>588</v>
      </c>
      <c r="L53" s="19" t="s">
        <v>589</v>
      </c>
      <c r="M53" s="20">
        <v>20</v>
      </c>
      <c r="N53" s="12"/>
      <c r="O53" s="14">
        <f t="shared" si="2"/>
        <v>0</v>
      </c>
    </row>
    <row r="54" spans="1:15" ht="75" x14ac:dyDescent="0.25">
      <c r="A54" s="30" t="s">
        <v>703</v>
      </c>
      <c r="B54" s="31" t="s">
        <v>736</v>
      </c>
      <c r="C54" s="32" t="s">
        <v>584</v>
      </c>
      <c r="D54" s="32" t="s">
        <v>605</v>
      </c>
      <c r="E54" s="32" t="s">
        <v>737</v>
      </c>
      <c r="F54" s="32" t="s">
        <v>611</v>
      </c>
      <c r="G54" s="32" t="s">
        <v>506</v>
      </c>
      <c r="H54" s="17">
        <v>1</v>
      </c>
      <c r="I54" s="16"/>
      <c r="J54" s="32" t="s">
        <v>506</v>
      </c>
      <c r="K54" s="27" t="s">
        <v>588</v>
      </c>
      <c r="L54" s="19" t="s">
        <v>589</v>
      </c>
      <c r="M54" s="20">
        <v>20</v>
      </c>
      <c r="N54" s="12"/>
      <c r="O54" s="14">
        <f t="shared" si="2"/>
        <v>0</v>
      </c>
    </row>
    <row r="55" spans="1:15" ht="60" x14ac:dyDescent="0.25">
      <c r="A55" s="30" t="s">
        <v>738</v>
      </c>
      <c r="B55" s="31" t="s">
        <v>739</v>
      </c>
      <c r="C55" s="32" t="s">
        <v>740</v>
      </c>
      <c r="D55" s="32" t="s">
        <v>605</v>
      </c>
      <c r="E55" s="32" t="s">
        <v>741</v>
      </c>
      <c r="F55" s="32" t="s">
        <v>611</v>
      </c>
      <c r="G55" s="32" t="s">
        <v>506</v>
      </c>
      <c r="H55" s="17">
        <v>1</v>
      </c>
      <c r="I55" s="16"/>
      <c r="J55" s="32" t="s">
        <v>506</v>
      </c>
      <c r="K55" s="27" t="s">
        <v>588</v>
      </c>
      <c r="L55" s="19" t="s">
        <v>589</v>
      </c>
      <c r="M55" s="20">
        <v>20</v>
      </c>
      <c r="N55" s="12"/>
      <c r="O55" s="14">
        <f t="shared" si="2"/>
        <v>0</v>
      </c>
    </row>
    <row r="56" spans="1:15" ht="60" x14ac:dyDescent="0.25">
      <c r="A56" s="15" t="s">
        <v>742</v>
      </c>
      <c r="B56" s="21" t="s">
        <v>743</v>
      </c>
      <c r="C56" s="16" t="s">
        <v>584</v>
      </c>
      <c r="D56" s="16" t="s">
        <v>585</v>
      </c>
      <c r="E56" s="16" t="s">
        <v>744</v>
      </c>
      <c r="F56" s="16" t="s">
        <v>626</v>
      </c>
      <c r="G56" s="16" t="s">
        <v>506</v>
      </c>
      <c r="H56" s="17">
        <v>1</v>
      </c>
      <c r="I56" s="16"/>
      <c r="J56" s="16" t="s">
        <v>506</v>
      </c>
      <c r="K56" s="27" t="s">
        <v>588</v>
      </c>
      <c r="L56" s="19" t="s">
        <v>589</v>
      </c>
      <c r="M56" s="20">
        <v>25</v>
      </c>
      <c r="N56" s="12"/>
      <c r="O56" s="14">
        <f t="shared" si="2"/>
        <v>0</v>
      </c>
    </row>
    <row r="57" spans="1:15" ht="75" x14ac:dyDescent="0.25">
      <c r="A57" s="15" t="s">
        <v>745</v>
      </c>
      <c r="B57" s="21" t="s">
        <v>746</v>
      </c>
      <c r="C57" s="16" t="s">
        <v>584</v>
      </c>
      <c r="D57" s="16" t="s">
        <v>747</v>
      </c>
      <c r="E57" s="16" t="s">
        <v>748</v>
      </c>
      <c r="F57" s="16" t="s">
        <v>607</v>
      </c>
      <c r="G57" s="16" t="s">
        <v>506</v>
      </c>
      <c r="H57" s="17">
        <v>1</v>
      </c>
      <c r="I57" s="16"/>
      <c r="J57" s="16" t="s">
        <v>506</v>
      </c>
      <c r="K57" s="27" t="s">
        <v>588</v>
      </c>
      <c r="L57" s="19" t="s">
        <v>589</v>
      </c>
      <c r="M57" s="20">
        <v>25</v>
      </c>
      <c r="N57" s="12"/>
      <c r="O57" s="14">
        <f t="shared" si="2"/>
        <v>0</v>
      </c>
    </row>
    <row r="58" spans="1:15" ht="75" x14ac:dyDescent="0.25">
      <c r="A58" s="15" t="s">
        <v>745</v>
      </c>
      <c r="B58" s="21" t="s">
        <v>746</v>
      </c>
      <c r="C58" s="16" t="s">
        <v>584</v>
      </c>
      <c r="D58" s="16" t="s">
        <v>747</v>
      </c>
      <c r="E58" s="16" t="s">
        <v>748</v>
      </c>
      <c r="F58" s="16" t="s">
        <v>607</v>
      </c>
      <c r="G58" s="16" t="s">
        <v>506</v>
      </c>
      <c r="H58" s="17">
        <v>1</v>
      </c>
      <c r="I58" s="16"/>
      <c r="J58" s="16" t="s">
        <v>506</v>
      </c>
      <c r="K58" s="27" t="s">
        <v>588</v>
      </c>
      <c r="L58" s="19" t="s">
        <v>589</v>
      </c>
      <c r="M58" s="20">
        <v>25</v>
      </c>
      <c r="N58" s="12"/>
      <c r="O58" s="14">
        <f t="shared" si="2"/>
        <v>0</v>
      </c>
    </row>
    <row r="59" spans="1:15" ht="45" x14ac:dyDescent="0.25">
      <c r="A59" s="15" t="s">
        <v>749</v>
      </c>
      <c r="B59" s="21" t="s">
        <v>750</v>
      </c>
      <c r="C59" s="16" t="s">
        <v>584</v>
      </c>
      <c r="D59" s="16" t="s">
        <v>751</v>
      </c>
      <c r="E59" s="16" t="s">
        <v>752</v>
      </c>
      <c r="F59" s="16" t="s">
        <v>611</v>
      </c>
      <c r="G59" s="16" t="s">
        <v>506</v>
      </c>
      <c r="H59" s="17">
        <v>1</v>
      </c>
      <c r="I59" s="16"/>
      <c r="J59" s="16" t="s">
        <v>506</v>
      </c>
      <c r="K59" s="27" t="s">
        <v>588</v>
      </c>
      <c r="L59" s="19" t="s">
        <v>589</v>
      </c>
      <c r="M59" s="20">
        <v>25</v>
      </c>
      <c r="N59" s="12"/>
      <c r="O59" s="14">
        <f t="shared" si="2"/>
        <v>0</v>
      </c>
    </row>
    <row r="60" spans="1:15" ht="60" x14ac:dyDescent="0.25">
      <c r="A60" s="15" t="s">
        <v>753</v>
      </c>
      <c r="B60" s="21" t="s">
        <v>754</v>
      </c>
      <c r="C60" s="16" t="s">
        <v>584</v>
      </c>
      <c r="D60" s="16" t="s">
        <v>605</v>
      </c>
      <c r="E60" s="16" t="s">
        <v>755</v>
      </c>
      <c r="F60" s="16" t="s">
        <v>587</v>
      </c>
      <c r="G60" s="16" t="s">
        <v>506</v>
      </c>
      <c r="H60" s="17">
        <v>1</v>
      </c>
      <c r="I60" s="16"/>
      <c r="J60" s="16" t="s">
        <v>506</v>
      </c>
      <c r="K60" s="27" t="s">
        <v>588</v>
      </c>
      <c r="L60" s="19" t="s">
        <v>589</v>
      </c>
      <c r="M60" s="20">
        <v>25</v>
      </c>
      <c r="N60" s="12"/>
      <c r="O60" s="14">
        <f t="shared" si="2"/>
        <v>0</v>
      </c>
    </row>
    <row r="61" spans="1:15" ht="105" x14ac:dyDescent="0.25">
      <c r="A61" s="15" t="s">
        <v>756</v>
      </c>
      <c r="B61" s="21" t="s">
        <v>757</v>
      </c>
      <c r="C61" s="16" t="s">
        <v>584</v>
      </c>
      <c r="D61" s="16" t="s">
        <v>605</v>
      </c>
      <c r="E61" s="16" t="s">
        <v>758</v>
      </c>
      <c r="F61" s="16" t="s">
        <v>626</v>
      </c>
      <c r="G61" s="16" t="s">
        <v>506</v>
      </c>
      <c r="H61" s="17">
        <v>1</v>
      </c>
      <c r="I61" s="16"/>
      <c r="J61" s="16" t="s">
        <v>506</v>
      </c>
      <c r="K61" s="27" t="s">
        <v>588</v>
      </c>
      <c r="L61" s="19" t="s">
        <v>589</v>
      </c>
      <c r="M61" s="20">
        <v>25</v>
      </c>
      <c r="N61" s="12"/>
      <c r="O61" s="14">
        <f t="shared" si="2"/>
        <v>0</v>
      </c>
    </row>
    <row r="62" spans="1:15" ht="60" x14ac:dyDescent="0.25">
      <c r="A62" s="15" t="s">
        <v>759</v>
      </c>
      <c r="B62" s="21" t="s">
        <v>760</v>
      </c>
      <c r="C62" s="16" t="s">
        <v>584</v>
      </c>
      <c r="D62" s="16" t="s">
        <v>662</v>
      </c>
      <c r="E62" s="16" t="s">
        <v>761</v>
      </c>
      <c r="F62" s="16" t="s">
        <v>626</v>
      </c>
      <c r="G62" s="16" t="s">
        <v>506</v>
      </c>
      <c r="H62" s="17">
        <v>1</v>
      </c>
      <c r="I62" s="16"/>
      <c r="J62" s="16" t="s">
        <v>506</v>
      </c>
      <c r="K62" s="27" t="s">
        <v>588</v>
      </c>
      <c r="L62" s="19" t="s">
        <v>589</v>
      </c>
      <c r="M62" s="20">
        <v>25</v>
      </c>
      <c r="N62" s="12"/>
      <c r="O62" s="14">
        <f t="shared" si="2"/>
        <v>0</v>
      </c>
    </row>
    <row r="63" spans="1:15" ht="120" x14ac:dyDescent="0.25">
      <c r="A63" s="15" t="s">
        <v>762</v>
      </c>
      <c r="B63" s="21" t="s">
        <v>763</v>
      </c>
      <c r="C63" s="16" t="s">
        <v>584</v>
      </c>
      <c r="D63" s="16" t="s">
        <v>618</v>
      </c>
      <c r="E63" s="16" t="s">
        <v>764</v>
      </c>
      <c r="F63" s="16" t="s">
        <v>587</v>
      </c>
      <c r="G63" s="16" t="s">
        <v>506</v>
      </c>
      <c r="H63" s="17">
        <v>1</v>
      </c>
      <c r="I63" s="16"/>
      <c r="J63" s="16" t="s">
        <v>506</v>
      </c>
      <c r="K63" s="27" t="s">
        <v>588</v>
      </c>
      <c r="L63" s="19" t="s">
        <v>589</v>
      </c>
      <c r="M63" s="20">
        <v>25</v>
      </c>
      <c r="N63" s="12"/>
      <c r="O63" s="14">
        <f t="shared" si="2"/>
        <v>0</v>
      </c>
    </row>
    <row r="64" spans="1:15" ht="75" x14ac:dyDescent="0.25">
      <c r="A64" s="15" t="s">
        <v>765</v>
      </c>
      <c r="B64" s="21" t="s">
        <v>766</v>
      </c>
      <c r="C64" s="16" t="s">
        <v>584</v>
      </c>
      <c r="D64" s="16" t="s">
        <v>751</v>
      </c>
      <c r="E64" s="16" t="s">
        <v>767</v>
      </c>
      <c r="F64" s="16" t="s">
        <v>587</v>
      </c>
      <c r="G64" s="16" t="s">
        <v>506</v>
      </c>
      <c r="H64" s="17">
        <v>1</v>
      </c>
      <c r="I64" s="16"/>
      <c r="J64" s="16" t="s">
        <v>506</v>
      </c>
      <c r="K64" s="27" t="s">
        <v>588</v>
      </c>
      <c r="L64" s="19" t="s">
        <v>589</v>
      </c>
      <c r="M64" s="20">
        <v>25</v>
      </c>
      <c r="N64" s="12"/>
      <c r="O64" s="14">
        <f t="shared" si="2"/>
        <v>0</v>
      </c>
    </row>
    <row r="65" spans="1:15" ht="60" x14ac:dyDescent="0.25">
      <c r="A65" s="15" t="s">
        <v>768</v>
      </c>
      <c r="B65" s="21" t="s">
        <v>769</v>
      </c>
      <c r="C65" s="16" t="s">
        <v>584</v>
      </c>
      <c r="D65" s="16" t="s">
        <v>585</v>
      </c>
      <c r="E65" s="16" t="s">
        <v>770</v>
      </c>
      <c r="F65" s="16" t="s">
        <v>587</v>
      </c>
      <c r="G65" s="16" t="s">
        <v>506</v>
      </c>
      <c r="H65" s="17">
        <v>1</v>
      </c>
      <c r="I65" s="16"/>
      <c r="J65" s="16" t="s">
        <v>506</v>
      </c>
      <c r="K65" s="27" t="s">
        <v>588</v>
      </c>
      <c r="L65" s="19" t="s">
        <v>589</v>
      </c>
      <c r="M65" s="20">
        <v>25</v>
      </c>
      <c r="N65" s="12"/>
      <c r="O65" s="14">
        <f t="shared" si="2"/>
        <v>0</v>
      </c>
    </row>
    <row r="66" spans="1:15" ht="75" x14ac:dyDescent="0.25">
      <c r="A66" s="15" t="s">
        <v>588</v>
      </c>
      <c r="B66" s="21" t="s">
        <v>771</v>
      </c>
      <c r="C66" s="16" t="s">
        <v>584</v>
      </c>
      <c r="D66" s="16" t="s">
        <v>772</v>
      </c>
      <c r="E66" s="16" t="s">
        <v>773</v>
      </c>
      <c r="F66" s="16" t="s">
        <v>587</v>
      </c>
      <c r="G66" s="16" t="s">
        <v>506</v>
      </c>
      <c r="H66" s="17">
        <v>1</v>
      </c>
      <c r="I66" s="16"/>
      <c r="J66" s="16" t="s">
        <v>506</v>
      </c>
      <c r="K66" s="27" t="s">
        <v>588</v>
      </c>
      <c r="L66" s="19" t="s">
        <v>589</v>
      </c>
      <c r="M66" s="20">
        <v>25</v>
      </c>
      <c r="N66" s="12"/>
      <c r="O66" s="14">
        <f t="shared" ref="O66:O129" si="3">M66*N66</f>
        <v>0</v>
      </c>
    </row>
    <row r="67" spans="1:15" ht="90" x14ac:dyDescent="0.25">
      <c r="A67" s="15" t="s">
        <v>588</v>
      </c>
      <c r="B67" s="21" t="s">
        <v>774</v>
      </c>
      <c r="C67" s="16" t="s">
        <v>584</v>
      </c>
      <c r="D67" s="16" t="s">
        <v>585</v>
      </c>
      <c r="E67" s="16" t="s">
        <v>775</v>
      </c>
      <c r="F67" s="16" t="s">
        <v>611</v>
      </c>
      <c r="G67" s="16" t="s">
        <v>506</v>
      </c>
      <c r="H67" s="17">
        <v>1</v>
      </c>
      <c r="I67" s="16"/>
      <c r="J67" s="16" t="s">
        <v>506</v>
      </c>
      <c r="K67" s="27" t="s">
        <v>588</v>
      </c>
      <c r="L67" s="19" t="s">
        <v>589</v>
      </c>
      <c r="M67" s="20">
        <v>25</v>
      </c>
      <c r="N67" s="12"/>
      <c r="O67" s="14">
        <f t="shared" si="3"/>
        <v>0</v>
      </c>
    </row>
    <row r="68" spans="1:15" ht="105" x14ac:dyDescent="0.25">
      <c r="A68" s="15" t="s">
        <v>588</v>
      </c>
      <c r="B68" s="21" t="s">
        <v>776</v>
      </c>
      <c r="C68" s="16" t="s">
        <v>584</v>
      </c>
      <c r="D68" s="16" t="s">
        <v>777</v>
      </c>
      <c r="E68" s="16" t="s">
        <v>778</v>
      </c>
      <c r="F68" s="16" t="s">
        <v>587</v>
      </c>
      <c r="G68" s="16" t="s">
        <v>506</v>
      </c>
      <c r="H68" s="17">
        <v>1</v>
      </c>
      <c r="I68" s="16"/>
      <c r="J68" s="16" t="s">
        <v>506</v>
      </c>
      <c r="K68" s="27" t="s">
        <v>588</v>
      </c>
      <c r="L68" s="19" t="s">
        <v>589</v>
      </c>
      <c r="M68" s="20">
        <v>25</v>
      </c>
      <c r="N68" s="12"/>
      <c r="O68" s="14">
        <f t="shared" si="3"/>
        <v>0</v>
      </c>
    </row>
    <row r="69" spans="1:15" ht="45" x14ac:dyDescent="0.25">
      <c r="A69" s="15" t="s">
        <v>728</v>
      </c>
      <c r="B69" s="21" t="s">
        <v>779</v>
      </c>
      <c r="C69" s="16" t="s">
        <v>584</v>
      </c>
      <c r="D69" s="16" t="s">
        <v>605</v>
      </c>
      <c r="E69" s="16" t="s">
        <v>780</v>
      </c>
      <c r="F69" s="16" t="s">
        <v>611</v>
      </c>
      <c r="G69" s="16" t="s">
        <v>506</v>
      </c>
      <c r="H69" s="17">
        <v>1</v>
      </c>
      <c r="I69" s="16"/>
      <c r="J69" s="16" t="s">
        <v>506</v>
      </c>
      <c r="K69" s="27" t="s">
        <v>588</v>
      </c>
      <c r="L69" s="19" t="s">
        <v>589</v>
      </c>
      <c r="M69" s="20">
        <v>25</v>
      </c>
      <c r="N69" s="12"/>
      <c r="O69" s="14">
        <f t="shared" si="3"/>
        <v>0</v>
      </c>
    </row>
    <row r="70" spans="1:15" ht="90" x14ac:dyDescent="0.25">
      <c r="A70" s="33" t="s">
        <v>728</v>
      </c>
      <c r="B70" s="34" t="s">
        <v>781</v>
      </c>
      <c r="C70" s="19" t="s">
        <v>584</v>
      </c>
      <c r="D70" s="16" t="s">
        <v>605</v>
      </c>
      <c r="E70" s="16" t="s">
        <v>782</v>
      </c>
      <c r="F70" s="16" t="s">
        <v>611</v>
      </c>
      <c r="G70" s="19" t="s">
        <v>506</v>
      </c>
      <c r="H70" s="17">
        <v>1</v>
      </c>
      <c r="I70" s="16"/>
      <c r="J70" s="19" t="s">
        <v>506</v>
      </c>
      <c r="K70" s="33" t="s">
        <v>588</v>
      </c>
      <c r="L70" s="19" t="s">
        <v>589</v>
      </c>
      <c r="M70" s="20">
        <v>25</v>
      </c>
      <c r="N70" s="12"/>
      <c r="O70" s="14">
        <f t="shared" si="3"/>
        <v>0</v>
      </c>
    </row>
    <row r="71" spans="1:15" ht="120" x14ac:dyDescent="0.25">
      <c r="A71" s="33" t="s">
        <v>588</v>
      </c>
      <c r="B71" s="34" t="s">
        <v>783</v>
      </c>
      <c r="C71" s="19" t="s">
        <v>584</v>
      </c>
      <c r="D71" s="16" t="s">
        <v>585</v>
      </c>
      <c r="E71" s="16" t="s">
        <v>784</v>
      </c>
      <c r="F71" s="16" t="s">
        <v>587</v>
      </c>
      <c r="G71" s="19" t="s">
        <v>506</v>
      </c>
      <c r="H71" s="17">
        <v>1</v>
      </c>
      <c r="I71" s="16"/>
      <c r="J71" s="19" t="s">
        <v>506</v>
      </c>
      <c r="K71" s="33" t="s">
        <v>588</v>
      </c>
      <c r="L71" s="19" t="s">
        <v>589</v>
      </c>
      <c r="M71" s="20">
        <v>25</v>
      </c>
      <c r="N71" s="12"/>
      <c r="O71" s="14">
        <f t="shared" si="3"/>
        <v>0</v>
      </c>
    </row>
    <row r="72" spans="1:15" ht="60" x14ac:dyDescent="0.25">
      <c r="A72" s="33" t="s">
        <v>785</v>
      </c>
      <c r="B72" s="34" t="s">
        <v>786</v>
      </c>
      <c r="C72" s="19" t="s">
        <v>584</v>
      </c>
      <c r="D72" s="16" t="s">
        <v>585</v>
      </c>
      <c r="E72" s="16" t="s">
        <v>787</v>
      </c>
      <c r="F72" s="16" t="s">
        <v>626</v>
      </c>
      <c r="G72" s="19" t="s">
        <v>506</v>
      </c>
      <c r="H72" s="17">
        <v>1</v>
      </c>
      <c r="I72" s="16"/>
      <c r="J72" s="19" t="s">
        <v>506</v>
      </c>
      <c r="K72" s="33" t="s">
        <v>588</v>
      </c>
      <c r="L72" s="19" t="s">
        <v>589</v>
      </c>
      <c r="M72" s="20">
        <v>30</v>
      </c>
      <c r="N72" s="12"/>
      <c r="O72" s="14">
        <f t="shared" si="3"/>
        <v>0</v>
      </c>
    </row>
    <row r="73" spans="1:15" ht="75" x14ac:dyDescent="0.25">
      <c r="A73" s="33" t="s">
        <v>788</v>
      </c>
      <c r="B73" s="34" t="s">
        <v>789</v>
      </c>
      <c r="C73" s="19" t="s">
        <v>584</v>
      </c>
      <c r="D73" s="16" t="s">
        <v>585</v>
      </c>
      <c r="E73" s="16" t="s">
        <v>790</v>
      </c>
      <c r="F73" s="16" t="s">
        <v>611</v>
      </c>
      <c r="G73" s="19" t="s">
        <v>506</v>
      </c>
      <c r="H73" s="17">
        <v>1</v>
      </c>
      <c r="I73" s="16"/>
      <c r="J73" s="19" t="s">
        <v>506</v>
      </c>
      <c r="K73" s="33" t="s">
        <v>588</v>
      </c>
      <c r="L73" s="19" t="s">
        <v>589</v>
      </c>
      <c r="M73" s="20">
        <v>30</v>
      </c>
      <c r="N73" s="12"/>
      <c r="O73" s="14">
        <f t="shared" si="3"/>
        <v>0</v>
      </c>
    </row>
    <row r="74" spans="1:15" ht="75" x14ac:dyDescent="0.25">
      <c r="A74" s="33" t="s">
        <v>791</v>
      </c>
      <c r="B74" s="34" t="s">
        <v>792</v>
      </c>
      <c r="C74" s="19" t="s">
        <v>584</v>
      </c>
      <c r="D74" s="16" t="s">
        <v>605</v>
      </c>
      <c r="E74" s="16" t="s">
        <v>793</v>
      </c>
      <c r="F74" s="16" t="s">
        <v>587</v>
      </c>
      <c r="G74" s="19" t="s">
        <v>506</v>
      </c>
      <c r="H74" s="17">
        <v>1</v>
      </c>
      <c r="I74" s="16"/>
      <c r="J74" s="19" t="s">
        <v>506</v>
      </c>
      <c r="K74" s="33" t="s">
        <v>588</v>
      </c>
      <c r="L74" s="19" t="s">
        <v>589</v>
      </c>
      <c r="M74" s="20">
        <v>30</v>
      </c>
      <c r="N74" s="12"/>
      <c r="O74" s="14">
        <f t="shared" si="3"/>
        <v>0</v>
      </c>
    </row>
    <row r="75" spans="1:15" ht="75" x14ac:dyDescent="0.25">
      <c r="A75" s="33" t="s">
        <v>791</v>
      </c>
      <c r="B75" s="34" t="s">
        <v>794</v>
      </c>
      <c r="C75" s="19" t="s">
        <v>584</v>
      </c>
      <c r="D75" s="16" t="s">
        <v>605</v>
      </c>
      <c r="E75" s="16" t="s">
        <v>795</v>
      </c>
      <c r="F75" s="16" t="s">
        <v>587</v>
      </c>
      <c r="G75" s="19" t="s">
        <v>506</v>
      </c>
      <c r="H75" s="17">
        <v>1</v>
      </c>
      <c r="I75" s="16"/>
      <c r="J75" s="19" t="s">
        <v>506</v>
      </c>
      <c r="K75" s="33" t="s">
        <v>588</v>
      </c>
      <c r="L75" s="19" t="s">
        <v>589</v>
      </c>
      <c r="M75" s="20">
        <v>30</v>
      </c>
      <c r="N75" s="12"/>
      <c r="O75" s="14">
        <f t="shared" si="3"/>
        <v>0</v>
      </c>
    </row>
    <row r="76" spans="1:15" ht="60" x14ac:dyDescent="0.25">
      <c r="A76" s="34" t="s">
        <v>796</v>
      </c>
      <c r="B76" s="34" t="s">
        <v>797</v>
      </c>
      <c r="C76" s="19" t="s">
        <v>584</v>
      </c>
      <c r="D76" s="16" t="s">
        <v>585</v>
      </c>
      <c r="E76" s="16" t="s">
        <v>798</v>
      </c>
      <c r="F76" s="16" t="s">
        <v>587</v>
      </c>
      <c r="G76" s="19" t="s">
        <v>506</v>
      </c>
      <c r="H76" s="17">
        <v>1</v>
      </c>
      <c r="I76" s="16"/>
      <c r="J76" s="19" t="s">
        <v>506</v>
      </c>
      <c r="K76" s="33" t="s">
        <v>588</v>
      </c>
      <c r="L76" s="19" t="s">
        <v>589</v>
      </c>
      <c r="M76" s="20">
        <v>30</v>
      </c>
      <c r="N76" s="12"/>
      <c r="O76" s="14">
        <f t="shared" si="3"/>
        <v>0</v>
      </c>
    </row>
    <row r="77" spans="1:15" ht="60" x14ac:dyDescent="0.25">
      <c r="A77" s="33" t="s">
        <v>796</v>
      </c>
      <c r="B77" s="34" t="s">
        <v>799</v>
      </c>
      <c r="C77" s="19" t="s">
        <v>584</v>
      </c>
      <c r="D77" s="16" t="s">
        <v>800</v>
      </c>
      <c r="E77" s="16" t="s">
        <v>801</v>
      </c>
      <c r="F77" s="16" t="s">
        <v>587</v>
      </c>
      <c r="G77" s="19" t="s">
        <v>506</v>
      </c>
      <c r="H77" s="17">
        <v>1</v>
      </c>
      <c r="I77" s="16"/>
      <c r="J77" s="19" t="s">
        <v>506</v>
      </c>
      <c r="K77" s="33" t="s">
        <v>588</v>
      </c>
      <c r="L77" s="19" t="s">
        <v>589</v>
      </c>
      <c r="M77" s="20">
        <v>30</v>
      </c>
      <c r="N77" s="12"/>
      <c r="O77" s="14">
        <f t="shared" si="3"/>
        <v>0</v>
      </c>
    </row>
    <row r="78" spans="1:15" ht="105" x14ac:dyDescent="0.25">
      <c r="A78" s="33" t="s">
        <v>796</v>
      </c>
      <c r="B78" s="34" t="s">
        <v>802</v>
      </c>
      <c r="C78" s="19" t="s">
        <v>584</v>
      </c>
      <c r="D78" s="16" t="s">
        <v>585</v>
      </c>
      <c r="E78" s="16" t="s">
        <v>803</v>
      </c>
      <c r="F78" s="16" t="s">
        <v>587</v>
      </c>
      <c r="G78" s="19" t="s">
        <v>506</v>
      </c>
      <c r="H78" s="17">
        <v>1</v>
      </c>
      <c r="I78" s="16"/>
      <c r="J78" s="19" t="s">
        <v>506</v>
      </c>
      <c r="K78" s="33" t="s">
        <v>588</v>
      </c>
      <c r="L78" s="19" t="s">
        <v>589</v>
      </c>
      <c r="M78" s="20">
        <v>30</v>
      </c>
      <c r="N78" s="12"/>
      <c r="O78" s="14">
        <f t="shared" si="3"/>
        <v>0</v>
      </c>
    </row>
    <row r="79" spans="1:15" ht="90" x14ac:dyDescent="0.25">
      <c r="A79" s="33" t="s">
        <v>796</v>
      </c>
      <c r="B79" s="34" t="s">
        <v>804</v>
      </c>
      <c r="C79" s="19" t="s">
        <v>584</v>
      </c>
      <c r="D79" s="16" t="s">
        <v>585</v>
      </c>
      <c r="E79" s="16" t="s">
        <v>805</v>
      </c>
      <c r="F79" s="16" t="s">
        <v>587</v>
      </c>
      <c r="G79" s="19" t="s">
        <v>506</v>
      </c>
      <c r="H79" s="17">
        <v>1</v>
      </c>
      <c r="I79" s="16"/>
      <c r="J79" s="19" t="s">
        <v>506</v>
      </c>
      <c r="K79" s="33" t="s">
        <v>588</v>
      </c>
      <c r="L79" s="19" t="s">
        <v>589</v>
      </c>
      <c r="M79" s="20">
        <v>30</v>
      </c>
      <c r="N79" s="12"/>
      <c r="O79" s="14">
        <f t="shared" si="3"/>
        <v>0</v>
      </c>
    </row>
    <row r="80" spans="1:15" ht="105" x14ac:dyDescent="0.25">
      <c r="A80" s="33" t="s">
        <v>806</v>
      </c>
      <c r="B80" s="34" t="s">
        <v>807</v>
      </c>
      <c r="C80" s="19" t="s">
        <v>584</v>
      </c>
      <c r="D80" s="16" t="s">
        <v>585</v>
      </c>
      <c r="E80" s="16" t="s">
        <v>808</v>
      </c>
      <c r="F80" s="16" t="s">
        <v>587</v>
      </c>
      <c r="G80" s="19" t="s">
        <v>506</v>
      </c>
      <c r="H80" s="17">
        <v>1</v>
      </c>
      <c r="I80" s="16"/>
      <c r="J80" s="19" t="s">
        <v>506</v>
      </c>
      <c r="K80" s="33" t="s">
        <v>588</v>
      </c>
      <c r="L80" s="19" t="s">
        <v>589</v>
      </c>
      <c r="M80" s="20">
        <v>30</v>
      </c>
      <c r="N80" s="12"/>
      <c r="O80" s="14">
        <f t="shared" si="3"/>
        <v>0</v>
      </c>
    </row>
    <row r="81" spans="1:15" ht="90" x14ac:dyDescent="0.25">
      <c r="A81" s="33" t="s">
        <v>806</v>
      </c>
      <c r="B81" s="34" t="s">
        <v>809</v>
      </c>
      <c r="C81" s="19" t="s">
        <v>584</v>
      </c>
      <c r="D81" s="16" t="s">
        <v>585</v>
      </c>
      <c r="E81" s="16" t="s">
        <v>810</v>
      </c>
      <c r="F81" s="16" t="s">
        <v>587</v>
      </c>
      <c r="G81" s="19" t="s">
        <v>506</v>
      </c>
      <c r="H81" s="17">
        <v>1</v>
      </c>
      <c r="I81" s="16"/>
      <c r="J81" s="19" t="s">
        <v>506</v>
      </c>
      <c r="K81" s="33" t="s">
        <v>588</v>
      </c>
      <c r="L81" s="19" t="s">
        <v>589</v>
      </c>
      <c r="M81" s="20">
        <v>30</v>
      </c>
      <c r="N81" s="12"/>
      <c r="O81" s="14">
        <f t="shared" si="3"/>
        <v>0</v>
      </c>
    </row>
    <row r="82" spans="1:15" ht="90" x14ac:dyDescent="0.25">
      <c r="A82" s="33" t="s">
        <v>811</v>
      </c>
      <c r="B82" s="34" t="s">
        <v>812</v>
      </c>
      <c r="C82" s="19" t="s">
        <v>584</v>
      </c>
      <c r="D82" s="16" t="s">
        <v>585</v>
      </c>
      <c r="E82" s="16" t="s">
        <v>813</v>
      </c>
      <c r="F82" s="16" t="s">
        <v>587</v>
      </c>
      <c r="G82" s="19" t="s">
        <v>506</v>
      </c>
      <c r="H82" s="17">
        <v>1</v>
      </c>
      <c r="I82" s="16"/>
      <c r="J82" s="19" t="s">
        <v>506</v>
      </c>
      <c r="K82" s="33" t="s">
        <v>588</v>
      </c>
      <c r="L82" s="19" t="s">
        <v>589</v>
      </c>
      <c r="M82" s="20">
        <v>30</v>
      </c>
      <c r="N82" s="12"/>
      <c r="O82" s="14">
        <f t="shared" si="3"/>
        <v>0</v>
      </c>
    </row>
    <row r="83" spans="1:15" ht="60" x14ac:dyDescent="0.25">
      <c r="A83" s="33" t="s">
        <v>814</v>
      </c>
      <c r="B83" s="34" t="s">
        <v>815</v>
      </c>
      <c r="C83" s="19" t="s">
        <v>584</v>
      </c>
      <c r="D83" s="16" t="s">
        <v>585</v>
      </c>
      <c r="E83" s="16" t="s">
        <v>816</v>
      </c>
      <c r="F83" s="16" t="s">
        <v>587</v>
      </c>
      <c r="G83" s="19" t="s">
        <v>506</v>
      </c>
      <c r="H83" s="17">
        <v>1</v>
      </c>
      <c r="I83" s="16"/>
      <c r="J83" s="19" t="s">
        <v>506</v>
      </c>
      <c r="K83" s="33" t="s">
        <v>588</v>
      </c>
      <c r="L83" s="19" t="s">
        <v>589</v>
      </c>
      <c r="M83" s="20">
        <v>30</v>
      </c>
      <c r="N83" s="12"/>
      <c r="O83" s="14">
        <f t="shared" si="3"/>
        <v>0</v>
      </c>
    </row>
    <row r="84" spans="1:15" ht="75" x14ac:dyDescent="0.25">
      <c r="A84" s="33" t="s">
        <v>817</v>
      </c>
      <c r="B84" s="34" t="s">
        <v>818</v>
      </c>
      <c r="C84" s="19" t="s">
        <v>584</v>
      </c>
      <c r="D84" s="16" t="s">
        <v>605</v>
      </c>
      <c r="E84" s="16" t="s">
        <v>819</v>
      </c>
      <c r="F84" s="16" t="s">
        <v>626</v>
      </c>
      <c r="G84" s="19" t="s">
        <v>506</v>
      </c>
      <c r="H84" s="17">
        <v>1</v>
      </c>
      <c r="I84" s="16"/>
      <c r="J84" s="19" t="s">
        <v>506</v>
      </c>
      <c r="K84" s="33" t="s">
        <v>588</v>
      </c>
      <c r="L84" s="19" t="s">
        <v>589</v>
      </c>
      <c r="M84" s="20">
        <v>30</v>
      </c>
      <c r="N84" s="12"/>
      <c r="O84" s="14">
        <f t="shared" si="3"/>
        <v>0</v>
      </c>
    </row>
    <row r="85" spans="1:15" ht="120" x14ac:dyDescent="0.25">
      <c r="A85" s="33" t="s">
        <v>588</v>
      </c>
      <c r="B85" s="34" t="s">
        <v>820</v>
      </c>
      <c r="C85" s="19" t="s">
        <v>584</v>
      </c>
      <c r="D85" s="16" t="s">
        <v>585</v>
      </c>
      <c r="E85" s="16" t="s">
        <v>821</v>
      </c>
      <c r="F85" s="16" t="s">
        <v>587</v>
      </c>
      <c r="G85" s="19" t="s">
        <v>506</v>
      </c>
      <c r="H85" s="17">
        <v>1</v>
      </c>
      <c r="I85" s="16"/>
      <c r="J85" s="19" t="s">
        <v>506</v>
      </c>
      <c r="K85" s="33" t="s">
        <v>588</v>
      </c>
      <c r="L85" s="19" t="s">
        <v>589</v>
      </c>
      <c r="M85" s="20">
        <v>30</v>
      </c>
      <c r="N85" s="12"/>
      <c r="O85" s="14">
        <f t="shared" si="3"/>
        <v>0</v>
      </c>
    </row>
    <row r="86" spans="1:15" ht="90" x14ac:dyDescent="0.25">
      <c r="A86" s="33" t="s">
        <v>588</v>
      </c>
      <c r="B86" s="34" t="s">
        <v>822</v>
      </c>
      <c r="C86" s="19" t="s">
        <v>584</v>
      </c>
      <c r="D86" s="16" t="s">
        <v>585</v>
      </c>
      <c r="E86" s="16" t="s">
        <v>823</v>
      </c>
      <c r="F86" s="16" t="s">
        <v>611</v>
      </c>
      <c r="G86" s="19" t="s">
        <v>506</v>
      </c>
      <c r="H86" s="17">
        <v>1</v>
      </c>
      <c r="I86" s="16"/>
      <c r="J86" s="19" t="s">
        <v>506</v>
      </c>
      <c r="K86" s="33" t="s">
        <v>588</v>
      </c>
      <c r="L86" s="19" t="s">
        <v>589</v>
      </c>
      <c r="M86" s="20">
        <v>30</v>
      </c>
      <c r="N86" s="12"/>
      <c r="O86" s="14">
        <f t="shared" si="3"/>
        <v>0</v>
      </c>
    </row>
    <row r="87" spans="1:15" ht="75" x14ac:dyDescent="0.25">
      <c r="A87" s="33" t="s">
        <v>588</v>
      </c>
      <c r="B87" s="34" t="s">
        <v>824</v>
      </c>
      <c r="C87" s="19" t="s">
        <v>825</v>
      </c>
      <c r="D87" s="16" t="s">
        <v>585</v>
      </c>
      <c r="E87" s="32" t="s">
        <v>826</v>
      </c>
      <c r="F87" s="16" t="s">
        <v>587</v>
      </c>
      <c r="G87" s="19" t="s">
        <v>506</v>
      </c>
      <c r="H87" s="17">
        <v>1</v>
      </c>
      <c r="I87" s="16"/>
      <c r="J87" s="19" t="s">
        <v>506</v>
      </c>
      <c r="K87" s="33" t="s">
        <v>588</v>
      </c>
      <c r="L87" s="19" t="s">
        <v>589</v>
      </c>
      <c r="M87" s="20">
        <v>30</v>
      </c>
      <c r="N87" s="12"/>
      <c r="O87" s="14">
        <f t="shared" si="3"/>
        <v>0</v>
      </c>
    </row>
    <row r="88" spans="1:15" ht="45" x14ac:dyDescent="0.25">
      <c r="A88" s="35" t="s">
        <v>588</v>
      </c>
      <c r="B88" s="36" t="s">
        <v>827</v>
      </c>
      <c r="C88" s="37" t="s">
        <v>584</v>
      </c>
      <c r="D88" s="32" t="s">
        <v>828</v>
      </c>
      <c r="E88" s="32" t="s">
        <v>829</v>
      </c>
      <c r="F88" s="32" t="s">
        <v>611</v>
      </c>
      <c r="G88" s="37" t="s">
        <v>506</v>
      </c>
      <c r="H88" s="17">
        <v>1</v>
      </c>
      <c r="I88" s="16"/>
      <c r="J88" s="37" t="s">
        <v>506</v>
      </c>
      <c r="K88" s="35" t="s">
        <v>588</v>
      </c>
      <c r="L88" s="19" t="s">
        <v>589</v>
      </c>
      <c r="M88" s="20">
        <v>30</v>
      </c>
      <c r="N88" s="12"/>
      <c r="O88" s="14">
        <f t="shared" si="3"/>
        <v>0</v>
      </c>
    </row>
    <row r="89" spans="1:15" ht="45" x14ac:dyDescent="0.25">
      <c r="A89" s="35" t="s">
        <v>588</v>
      </c>
      <c r="B89" s="36" t="s">
        <v>830</v>
      </c>
      <c r="C89" s="37" t="s">
        <v>584</v>
      </c>
      <c r="D89" s="32" t="s">
        <v>828</v>
      </c>
      <c r="E89" s="32" t="s">
        <v>829</v>
      </c>
      <c r="F89" s="32" t="s">
        <v>611</v>
      </c>
      <c r="G89" s="37" t="s">
        <v>506</v>
      </c>
      <c r="H89" s="17">
        <v>1</v>
      </c>
      <c r="I89" s="16"/>
      <c r="J89" s="37" t="s">
        <v>506</v>
      </c>
      <c r="K89" s="35" t="s">
        <v>588</v>
      </c>
      <c r="L89" s="19" t="s">
        <v>589</v>
      </c>
      <c r="M89" s="20">
        <v>30</v>
      </c>
      <c r="N89" s="12"/>
      <c r="O89" s="14">
        <f t="shared" si="3"/>
        <v>0</v>
      </c>
    </row>
    <row r="90" spans="1:15" ht="45" x14ac:dyDescent="0.25">
      <c r="A90" s="35" t="s">
        <v>588</v>
      </c>
      <c r="B90" s="36" t="s">
        <v>831</v>
      </c>
      <c r="C90" s="37" t="s">
        <v>584</v>
      </c>
      <c r="D90" s="32" t="s">
        <v>828</v>
      </c>
      <c r="E90" s="32" t="s">
        <v>829</v>
      </c>
      <c r="F90" s="32" t="s">
        <v>611</v>
      </c>
      <c r="G90" s="37" t="s">
        <v>506</v>
      </c>
      <c r="H90" s="17">
        <v>1</v>
      </c>
      <c r="I90" s="16"/>
      <c r="J90" s="37" t="s">
        <v>506</v>
      </c>
      <c r="K90" s="35" t="s">
        <v>588</v>
      </c>
      <c r="L90" s="19" t="s">
        <v>589</v>
      </c>
      <c r="M90" s="20">
        <v>30</v>
      </c>
      <c r="N90" s="12"/>
      <c r="O90" s="14">
        <f t="shared" si="3"/>
        <v>0</v>
      </c>
    </row>
    <row r="91" spans="1:15" ht="45" x14ac:dyDescent="0.25">
      <c r="A91" s="35" t="s">
        <v>588</v>
      </c>
      <c r="B91" s="36" t="s">
        <v>832</v>
      </c>
      <c r="C91" s="37" t="s">
        <v>584</v>
      </c>
      <c r="D91" s="32" t="s">
        <v>828</v>
      </c>
      <c r="E91" s="32" t="s">
        <v>829</v>
      </c>
      <c r="F91" s="32" t="s">
        <v>611</v>
      </c>
      <c r="G91" s="37" t="s">
        <v>506</v>
      </c>
      <c r="H91" s="17">
        <v>1</v>
      </c>
      <c r="I91" s="16"/>
      <c r="J91" s="37" t="s">
        <v>506</v>
      </c>
      <c r="K91" s="35" t="s">
        <v>588</v>
      </c>
      <c r="L91" s="19" t="s">
        <v>589</v>
      </c>
      <c r="M91" s="20">
        <v>30</v>
      </c>
      <c r="N91" s="12"/>
      <c r="O91" s="14">
        <f t="shared" si="3"/>
        <v>0</v>
      </c>
    </row>
    <row r="92" spans="1:15" ht="75" x14ac:dyDescent="0.25">
      <c r="A92" s="33" t="s">
        <v>833</v>
      </c>
      <c r="B92" s="34" t="s">
        <v>834</v>
      </c>
      <c r="C92" s="19" t="s">
        <v>584</v>
      </c>
      <c r="D92" s="16" t="s">
        <v>599</v>
      </c>
      <c r="E92" s="16" t="s">
        <v>835</v>
      </c>
      <c r="F92" s="16" t="s">
        <v>587</v>
      </c>
      <c r="G92" s="19" t="s">
        <v>506</v>
      </c>
      <c r="H92" s="17">
        <v>1</v>
      </c>
      <c r="I92" s="16"/>
      <c r="J92" s="19" t="s">
        <v>506</v>
      </c>
      <c r="K92" s="33" t="s">
        <v>588</v>
      </c>
      <c r="L92" s="19" t="s">
        <v>589</v>
      </c>
      <c r="M92" s="20">
        <v>40</v>
      </c>
      <c r="N92" s="12"/>
      <c r="O92" s="14">
        <f t="shared" si="3"/>
        <v>0</v>
      </c>
    </row>
    <row r="93" spans="1:15" ht="105" x14ac:dyDescent="0.25">
      <c r="A93" s="33" t="s">
        <v>796</v>
      </c>
      <c r="B93" s="34" t="s">
        <v>836</v>
      </c>
      <c r="C93" s="19" t="s">
        <v>584</v>
      </c>
      <c r="D93" s="16" t="s">
        <v>585</v>
      </c>
      <c r="E93" s="16" t="s">
        <v>837</v>
      </c>
      <c r="F93" s="16" t="s">
        <v>587</v>
      </c>
      <c r="G93" s="19" t="s">
        <v>506</v>
      </c>
      <c r="H93" s="17">
        <v>1</v>
      </c>
      <c r="I93" s="16"/>
      <c r="J93" s="19" t="s">
        <v>506</v>
      </c>
      <c r="K93" s="33" t="s">
        <v>588</v>
      </c>
      <c r="L93" s="19" t="s">
        <v>589</v>
      </c>
      <c r="M93" s="20">
        <v>40</v>
      </c>
      <c r="N93" s="12"/>
      <c r="O93" s="14">
        <f t="shared" si="3"/>
        <v>0</v>
      </c>
    </row>
    <row r="94" spans="1:15" ht="105" x14ac:dyDescent="0.25">
      <c r="A94" s="33" t="s">
        <v>796</v>
      </c>
      <c r="B94" s="34" t="s">
        <v>838</v>
      </c>
      <c r="C94" s="19" t="s">
        <v>584</v>
      </c>
      <c r="D94" s="16" t="s">
        <v>605</v>
      </c>
      <c r="E94" s="16" t="s">
        <v>839</v>
      </c>
      <c r="F94" s="16" t="s">
        <v>587</v>
      </c>
      <c r="G94" s="19" t="s">
        <v>506</v>
      </c>
      <c r="H94" s="17">
        <v>1</v>
      </c>
      <c r="I94" s="16"/>
      <c r="J94" s="19" t="s">
        <v>506</v>
      </c>
      <c r="K94" s="33" t="s">
        <v>588</v>
      </c>
      <c r="L94" s="19" t="s">
        <v>589</v>
      </c>
      <c r="M94" s="20">
        <v>40</v>
      </c>
      <c r="N94" s="12"/>
      <c r="O94" s="14">
        <f t="shared" si="3"/>
        <v>0</v>
      </c>
    </row>
    <row r="95" spans="1:15" ht="105" x14ac:dyDescent="0.25">
      <c r="A95" s="33" t="s">
        <v>796</v>
      </c>
      <c r="B95" s="34" t="s">
        <v>840</v>
      </c>
      <c r="C95" s="19" t="s">
        <v>584</v>
      </c>
      <c r="D95" s="16" t="s">
        <v>585</v>
      </c>
      <c r="E95" s="16" t="s">
        <v>841</v>
      </c>
      <c r="F95" s="16" t="s">
        <v>587</v>
      </c>
      <c r="G95" s="19" t="s">
        <v>506</v>
      </c>
      <c r="H95" s="17">
        <v>1</v>
      </c>
      <c r="I95" s="16"/>
      <c r="J95" s="19" t="s">
        <v>506</v>
      </c>
      <c r="K95" s="33" t="s">
        <v>588</v>
      </c>
      <c r="L95" s="19" t="s">
        <v>589</v>
      </c>
      <c r="M95" s="20">
        <v>40</v>
      </c>
      <c r="N95" s="12"/>
      <c r="O95" s="14">
        <f t="shared" si="3"/>
        <v>0</v>
      </c>
    </row>
    <row r="96" spans="1:15" ht="90" x14ac:dyDescent="0.25">
      <c r="A96" s="33" t="s">
        <v>833</v>
      </c>
      <c r="B96" s="34" t="s">
        <v>842</v>
      </c>
      <c r="C96" s="19" t="s">
        <v>584</v>
      </c>
      <c r="D96" s="16" t="s">
        <v>585</v>
      </c>
      <c r="E96" s="16" t="s">
        <v>843</v>
      </c>
      <c r="F96" s="16" t="s">
        <v>611</v>
      </c>
      <c r="G96" s="19" t="s">
        <v>506</v>
      </c>
      <c r="H96" s="17">
        <v>1</v>
      </c>
      <c r="I96" s="16"/>
      <c r="J96" s="19" t="s">
        <v>506</v>
      </c>
      <c r="K96" s="33" t="s">
        <v>588</v>
      </c>
      <c r="L96" s="19" t="s">
        <v>589</v>
      </c>
      <c r="M96" s="20">
        <v>55</v>
      </c>
      <c r="N96" s="12"/>
      <c r="O96" s="14">
        <f t="shared" si="3"/>
        <v>0</v>
      </c>
    </row>
    <row r="97" spans="1:15" ht="120" x14ac:dyDescent="0.25">
      <c r="A97" s="33" t="s">
        <v>833</v>
      </c>
      <c r="B97" s="34" t="s">
        <v>844</v>
      </c>
      <c r="C97" s="19" t="s">
        <v>584</v>
      </c>
      <c r="D97" s="16" t="s">
        <v>662</v>
      </c>
      <c r="E97" s="16" t="s">
        <v>845</v>
      </c>
      <c r="F97" s="16" t="s">
        <v>611</v>
      </c>
      <c r="G97" s="19" t="s">
        <v>506</v>
      </c>
      <c r="H97" s="17">
        <v>1</v>
      </c>
      <c r="I97" s="16"/>
      <c r="J97" s="19" t="s">
        <v>506</v>
      </c>
      <c r="K97" s="33" t="s">
        <v>588</v>
      </c>
      <c r="L97" s="19" t="s">
        <v>589</v>
      </c>
      <c r="M97" s="20">
        <v>55</v>
      </c>
      <c r="N97" s="12"/>
      <c r="O97" s="14">
        <f t="shared" si="3"/>
        <v>0</v>
      </c>
    </row>
    <row r="98" spans="1:15" ht="105" x14ac:dyDescent="0.25">
      <c r="A98" s="33" t="s">
        <v>833</v>
      </c>
      <c r="B98" s="34" t="s">
        <v>846</v>
      </c>
      <c r="C98" s="19" t="s">
        <v>584</v>
      </c>
      <c r="D98" s="16" t="s">
        <v>751</v>
      </c>
      <c r="E98" s="16" t="s">
        <v>847</v>
      </c>
      <c r="F98" s="16" t="s">
        <v>587</v>
      </c>
      <c r="G98" s="19" t="s">
        <v>506</v>
      </c>
      <c r="H98" s="17">
        <v>1</v>
      </c>
      <c r="I98" s="16"/>
      <c r="J98" s="19" t="s">
        <v>506</v>
      </c>
      <c r="K98" s="33" t="s">
        <v>588</v>
      </c>
      <c r="L98" s="19" t="s">
        <v>589</v>
      </c>
      <c r="M98" s="20">
        <v>55</v>
      </c>
      <c r="N98" s="12"/>
      <c r="O98" s="14">
        <f t="shared" si="3"/>
        <v>0</v>
      </c>
    </row>
    <row r="99" spans="1:15" ht="150" x14ac:dyDescent="0.25">
      <c r="A99" s="33" t="s">
        <v>833</v>
      </c>
      <c r="B99" s="34" t="s">
        <v>848</v>
      </c>
      <c r="C99" s="19" t="s">
        <v>584</v>
      </c>
      <c r="D99" s="16" t="s">
        <v>751</v>
      </c>
      <c r="E99" s="16" t="s">
        <v>849</v>
      </c>
      <c r="F99" s="16" t="s">
        <v>587</v>
      </c>
      <c r="G99" s="19" t="s">
        <v>506</v>
      </c>
      <c r="H99" s="17">
        <v>1</v>
      </c>
      <c r="I99" s="16"/>
      <c r="J99" s="19" t="s">
        <v>506</v>
      </c>
      <c r="K99" s="33" t="s">
        <v>588</v>
      </c>
      <c r="L99" s="19" t="s">
        <v>589</v>
      </c>
      <c r="M99" s="20">
        <v>55</v>
      </c>
      <c r="N99" s="12"/>
      <c r="O99" s="14">
        <f t="shared" si="3"/>
        <v>0</v>
      </c>
    </row>
    <row r="100" spans="1:15" ht="105" x14ac:dyDescent="0.25">
      <c r="A100" s="33" t="s">
        <v>833</v>
      </c>
      <c r="B100" s="34" t="s">
        <v>850</v>
      </c>
      <c r="C100" s="19" t="s">
        <v>584</v>
      </c>
      <c r="D100" s="16" t="s">
        <v>751</v>
      </c>
      <c r="E100" s="16" t="s">
        <v>851</v>
      </c>
      <c r="F100" s="16" t="s">
        <v>611</v>
      </c>
      <c r="G100" s="19" t="s">
        <v>506</v>
      </c>
      <c r="H100" s="17">
        <v>1</v>
      </c>
      <c r="I100" s="16"/>
      <c r="J100" s="19" t="s">
        <v>506</v>
      </c>
      <c r="K100" s="33" t="s">
        <v>588</v>
      </c>
      <c r="L100" s="19" t="s">
        <v>589</v>
      </c>
      <c r="M100" s="20">
        <v>55</v>
      </c>
      <c r="N100" s="12"/>
      <c r="O100" s="14">
        <f t="shared" si="3"/>
        <v>0</v>
      </c>
    </row>
    <row r="101" spans="1:15" ht="60" x14ac:dyDescent="0.25">
      <c r="A101" s="33" t="s">
        <v>833</v>
      </c>
      <c r="B101" s="36" t="s">
        <v>852</v>
      </c>
      <c r="C101" s="19" t="s">
        <v>584</v>
      </c>
      <c r="D101" s="16" t="s">
        <v>751</v>
      </c>
      <c r="E101" s="16" t="s">
        <v>853</v>
      </c>
      <c r="F101" s="16" t="s">
        <v>587</v>
      </c>
      <c r="G101" s="19" t="s">
        <v>506</v>
      </c>
      <c r="H101" s="17">
        <v>1</v>
      </c>
      <c r="I101" s="16"/>
      <c r="J101" s="19" t="s">
        <v>506</v>
      </c>
      <c r="K101" s="33" t="s">
        <v>588</v>
      </c>
      <c r="L101" s="19" t="s">
        <v>589</v>
      </c>
      <c r="M101" s="20">
        <v>55</v>
      </c>
      <c r="N101" s="12"/>
      <c r="O101" s="14">
        <f t="shared" si="3"/>
        <v>0</v>
      </c>
    </row>
    <row r="102" spans="1:15" ht="135" x14ac:dyDescent="0.25">
      <c r="A102" s="33" t="s">
        <v>833</v>
      </c>
      <c r="B102" s="34" t="s">
        <v>854</v>
      </c>
      <c r="C102" s="19" t="s">
        <v>584</v>
      </c>
      <c r="D102" s="16" t="s">
        <v>800</v>
      </c>
      <c r="E102" s="16" t="s">
        <v>855</v>
      </c>
      <c r="F102" s="16" t="s">
        <v>587</v>
      </c>
      <c r="G102" s="19" t="s">
        <v>506</v>
      </c>
      <c r="H102" s="17">
        <v>1</v>
      </c>
      <c r="I102" s="16"/>
      <c r="J102" s="19" t="s">
        <v>506</v>
      </c>
      <c r="K102" s="33" t="s">
        <v>588</v>
      </c>
      <c r="L102" s="19" t="s">
        <v>589</v>
      </c>
      <c r="M102" s="20">
        <v>55</v>
      </c>
      <c r="N102" s="12"/>
      <c r="O102" s="14">
        <f t="shared" si="3"/>
        <v>0</v>
      </c>
    </row>
    <row r="103" spans="1:15" ht="60" x14ac:dyDescent="0.25">
      <c r="A103" s="33" t="s">
        <v>833</v>
      </c>
      <c r="B103" s="34" t="s">
        <v>856</v>
      </c>
      <c r="C103" s="19" t="s">
        <v>584</v>
      </c>
      <c r="D103" s="16" t="s">
        <v>662</v>
      </c>
      <c r="E103" s="16" t="s">
        <v>857</v>
      </c>
      <c r="F103" s="16" t="s">
        <v>611</v>
      </c>
      <c r="G103" s="19" t="s">
        <v>506</v>
      </c>
      <c r="H103" s="17">
        <v>1</v>
      </c>
      <c r="I103" s="16"/>
      <c r="J103" s="19" t="s">
        <v>506</v>
      </c>
      <c r="K103" s="33" t="s">
        <v>588</v>
      </c>
      <c r="L103" s="19" t="s">
        <v>589</v>
      </c>
      <c r="M103" s="20">
        <v>55</v>
      </c>
      <c r="N103" s="12"/>
      <c r="O103" s="14">
        <f t="shared" si="3"/>
        <v>0</v>
      </c>
    </row>
    <row r="104" spans="1:15" ht="75" x14ac:dyDescent="0.25">
      <c r="A104" s="33" t="s">
        <v>796</v>
      </c>
      <c r="B104" s="34" t="s">
        <v>858</v>
      </c>
      <c r="C104" s="19" t="s">
        <v>584</v>
      </c>
      <c r="D104" s="16" t="s">
        <v>585</v>
      </c>
      <c r="E104" s="16" t="s">
        <v>859</v>
      </c>
      <c r="F104" s="16" t="s">
        <v>611</v>
      </c>
      <c r="G104" s="19" t="s">
        <v>506</v>
      </c>
      <c r="H104" s="17">
        <v>1</v>
      </c>
      <c r="I104" s="16"/>
      <c r="J104" s="19" t="s">
        <v>506</v>
      </c>
      <c r="K104" s="33" t="s">
        <v>588</v>
      </c>
      <c r="L104" s="19" t="s">
        <v>589</v>
      </c>
      <c r="M104" s="20">
        <v>55</v>
      </c>
      <c r="N104" s="12"/>
      <c r="O104" s="14">
        <f t="shared" si="3"/>
        <v>0</v>
      </c>
    </row>
    <row r="105" spans="1:15" ht="60" x14ac:dyDescent="0.25">
      <c r="A105" s="33" t="s">
        <v>791</v>
      </c>
      <c r="B105" s="34" t="s">
        <v>860</v>
      </c>
      <c r="C105" s="19" t="s">
        <v>584</v>
      </c>
      <c r="D105" s="16" t="s">
        <v>747</v>
      </c>
      <c r="E105" s="16" t="s">
        <v>861</v>
      </c>
      <c r="F105" s="16" t="s">
        <v>611</v>
      </c>
      <c r="G105" s="19" t="s">
        <v>506</v>
      </c>
      <c r="H105" s="17">
        <v>1</v>
      </c>
      <c r="I105" s="16"/>
      <c r="J105" s="19" t="s">
        <v>506</v>
      </c>
      <c r="K105" s="33" t="s">
        <v>588</v>
      </c>
      <c r="L105" s="19" t="s">
        <v>589</v>
      </c>
      <c r="M105" s="20">
        <v>55</v>
      </c>
      <c r="N105" s="12"/>
      <c r="O105" s="14">
        <f t="shared" si="3"/>
        <v>0</v>
      </c>
    </row>
    <row r="106" spans="1:15" ht="75" x14ac:dyDescent="0.25">
      <c r="A106" s="35" t="s">
        <v>788</v>
      </c>
      <c r="B106" s="36" t="s">
        <v>862</v>
      </c>
      <c r="C106" s="37" t="s">
        <v>584</v>
      </c>
      <c r="D106" s="32" t="s">
        <v>585</v>
      </c>
      <c r="E106" s="32" t="s">
        <v>863</v>
      </c>
      <c r="F106" s="32" t="s">
        <v>611</v>
      </c>
      <c r="G106" s="37" t="s">
        <v>506</v>
      </c>
      <c r="H106" s="17">
        <v>1</v>
      </c>
      <c r="I106" s="16"/>
      <c r="J106" s="37" t="s">
        <v>506</v>
      </c>
      <c r="K106" s="35" t="s">
        <v>588</v>
      </c>
      <c r="L106" s="19" t="s">
        <v>589</v>
      </c>
      <c r="M106" s="20">
        <v>35</v>
      </c>
      <c r="N106" s="12"/>
      <c r="O106" s="14">
        <f t="shared" si="3"/>
        <v>0</v>
      </c>
    </row>
    <row r="107" spans="1:15" ht="90" x14ac:dyDescent="0.25">
      <c r="A107" s="35" t="s">
        <v>788</v>
      </c>
      <c r="B107" s="36" t="s">
        <v>864</v>
      </c>
      <c r="C107" s="37" t="s">
        <v>584</v>
      </c>
      <c r="D107" s="32" t="s">
        <v>585</v>
      </c>
      <c r="E107" s="32" t="s">
        <v>865</v>
      </c>
      <c r="F107" s="32" t="s">
        <v>611</v>
      </c>
      <c r="G107" s="37" t="s">
        <v>506</v>
      </c>
      <c r="H107" s="17">
        <v>1</v>
      </c>
      <c r="I107" s="16"/>
      <c r="J107" s="37" t="s">
        <v>506</v>
      </c>
      <c r="K107" s="35" t="s">
        <v>588</v>
      </c>
      <c r="L107" s="19" t="s">
        <v>589</v>
      </c>
      <c r="M107" s="20">
        <v>35</v>
      </c>
      <c r="N107" s="12"/>
      <c r="O107" s="14">
        <f t="shared" si="3"/>
        <v>0</v>
      </c>
    </row>
    <row r="108" spans="1:15" ht="60" x14ac:dyDescent="0.25">
      <c r="A108" s="35" t="s">
        <v>788</v>
      </c>
      <c r="B108" s="36" t="s">
        <v>866</v>
      </c>
      <c r="C108" s="37" t="s">
        <v>584</v>
      </c>
      <c r="D108" s="32" t="s">
        <v>585</v>
      </c>
      <c r="E108" s="32" t="s">
        <v>867</v>
      </c>
      <c r="F108" s="32" t="s">
        <v>611</v>
      </c>
      <c r="G108" s="37" t="s">
        <v>506</v>
      </c>
      <c r="H108" s="17">
        <v>1</v>
      </c>
      <c r="I108" s="16"/>
      <c r="J108" s="37" t="s">
        <v>506</v>
      </c>
      <c r="K108" s="35" t="s">
        <v>588</v>
      </c>
      <c r="L108" s="19" t="s">
        <v>589</v>
      </c>
      <c r="M108" s="20">
        <v>35</v>
      </c>
      <c r="N108" s="12"/>
      <c r="O108" s="14">
        <f t="shared" si="3"/>
        <v>0</v>
      </c>
    </row>
    <row r="109" spans="1:15" ht="75" x14ac:dyDescent="0.25">
      <c r="A109" s="35" t="s">
        <v>868</v>
      </c>
      <c r="B109" s="36" t="s">
        <v>869</v>
      </c>
      <c r="C109" s="37" t="s">
        <v>584</v>
      </c>
      <c r="D109" s="32" t="s">
        <v>585</v>
      </c>
      <c r="E109" s="32" t="s">
        <v>870</v>
      </c>
      <c r="F109" s="32" t="s">
        <v>611</v>
      </c>
      <c r="G109" s="37" t="s">
        <v>506</v>
      </c>
      <c r="H109" s="17">
        <v>1</v>
      </c>
      <c r="I109" s="16"/>
      <c r="J109" s="37" t="s">
        <v>506</v>
      </c>
      <c r="K109" s="35" t="s">
        <v>588</v>
      </c>
      <c r="L109" s="19" t="s">
        <v>589</v>
      </c>
      <c r="M109" s="20">
        <v>35</v>
      </c>
      <c r="N109" s="12"/>
      <c r="O109" s="14">
        <f t="shared" si="3"/>
        <v>0</v>
      </c>
    </row>
    <row r="110" spans="1:15" ht="75" x14ac:dyDescent="0.25">
      <c r="A110" s="35" t="s">
        <v>868</v>
      </c>
      <c r="B110" s="36" t="s">
        <v>871</v>
      </c>
      <c r="C110" s="37" t="s">
        <v>584</v>
      </c>
      <c r="D110" s="32" t="s">
        <v>585</v>
      </c>
      <c r="E110" s="32" t="s">
        <v>872</v>
      </c>
      <c r="F110" s="32" t="s">
        <v>611</v>
      </c>
      <c r="G110" s="37" t="s">
        <v>506</v>
      </c>
      <c r="H110" s="17">
        <v>1</v>
      </c>
      <c r="I110" s="16"/>
      <c r="J110" s="37" t="s">
        <v>506</v>
      </c>
      <c r="K110" s="35" t="s">
        <v>588</v>
      </c>
      <c r="L110" s="19" t="s">
        <v>589</v>
      </c>
      <c r="M110" s="20">
        <v>35</v>
      </c>
      <c r="N110" s="12"/>
      <c r="O110" s="14">
        <f t="shared" si="3"/>
        <v>0</v>
      </c>
    </row>
    <row r="111" spans="1:15" ht="90" x14ac:dyDescent="0.25">
      <c r="A111" s="35" t="s">
        <v>873</v>
      </c>
      <c r="B111" s="36" t="s">
        <v>874</v>
      </c>
      <c r="C111" s="37" t="s">
        <v>584</v>
      </c>
      <c r="D111" s="32" t="s">
        <v>875</v>
      </c>
      <c r="E111" s="32" t="s">
        <v>876</v>
      </c>
      <c r="F111" s="32" t="s">
        <v>587</v>
      </c>
      <c r="G111" s="37" t="s">
        <v>506</v>
      </c>
      <c r="H111" s="17">
        <v>1</v>
      </c>
      <c r="I111" s="16"/>
      <c r="J111" s="37" t="s">
        <v>506</v>
      </c>
      <c r="K111" s="35" t="s">
        <v>588</v>
      </c>
      <c r="L111" s="19" t="s">
        <v>589</v>
      </c>
      <c r="M111" s="20">
        <v>35</v>
      </c>
      <c r="N111" s="12"/>
      <c r="O111" s="14">
        <f t="shared" si="3"/>
        <v>0</v>
      </c>
    </row>
    <row r="112" spans="1:15" ht="90" x14ac:dyDescent="0.25">
      <c r="A112" s="35" t="s">
        <v>873</v>
      </c>
      <c r="B112" s="36" t="s">
        <v>877</v>
      </c>
      <c r="C112" s="37" t="s">
        <v>584</v>
      </c>
      <c r="D112" s="32" t="s">
        <v>605</v>
      </c>
      <c r="E112" s="32" t="s">
        <v>878</v>
      </c>
      <c r="F112" s="32" t="s">
        <v>587</v>
      </c>
      <c r="G112" s="37" t="s">
        <v>506</v>
      </c>
      <c r="H112" s="17">
        <v>1</v>
      </c>
      <c r="I112" s="16"/>
      <c r="J112" s="37" t="s">
        <v>506</v>
      </c>
      <c r="K112" s="35" t="s">
        <v>588</v>
      </c>
      <c r="L112" s="19" t="s">
        <v>589</v>
      </c>
      <c r="M112" s="20">
        <v>35</v>
      </c>
      <c r="N112" s="12"/>
      <c r="O112" s="14">
        <f t="shared" si="3"/>
        <v>0</v>
      </c>
    </row>
    <row r="113" spans="1:15" ht="90" x14ac:dyDescent="0.25">
      <c r="A113" s="35" t="s">
        <v>873</v>
      </c>
      <c r="B113" s="36" t="s">
        <v>879</v>
      </c>
      <c r="C113" s="37" t="s">
        <v>584</v>
      </c>
      <c r="D113" s="32" t="s">
        <v>585</v>
      </c>
      <c r="E113" s="32" t="s">
        <v>880</v>
      </c>
      <c r="F113" s="32" t="s">
        <v>587</v>
      </c>
      <c r="G113" s="37" t="s">
        <v>506</v>
      </c>
      <c r="H113" s="17">
        <v>1</v>
      </c>
      <c r="I113" s="16"/>
      <c r="J113" s="37" t="s">
        <v>506</v>
      </c>
      <c r="K113" s="35" t="s">
        <v>588</v>
      </c>
      <c r="L113" s="19" t="s">
        <v>589</v>
      </c>
      <c r="M113" s="20">
        <v>35</v>
      </c>
      <c r="N113" s="12"/>
      <c r="O113" s="14">
        <f t="shared" si="3"/>
        <v>0</v>
      </c>
    </row>
    <row r="114" spans="1:15" ht="105" x14ac:dyDescent="0.25">
      <c r="A114" s="35" t="s">
        <v>811</v>
      </c>
      <c r="B114" s="36" t="s">
        <v>881</v>
      </c>
      <c r="C114" s="37" t="s">
        <v>584</v>
      </c>
      <c r="D114" s="32" t="s">
        <v>585</v>
      </c>
      <c r="E114" s="32" t="s">
        <v>882</v>
      </c>
      <c r="F114" s="32" t="s">
        <v>587</v>
      </c>
      <c r="G114" s="37" t="s">
        <v>506</v>
      </c>
      <c r="H114" s="17">
        <v>1</v>
      </c>
      <c r="I114" s="16"/>
      <c r="J114" s="37" t="s">
        <v>506</v>
      </c>
      <c r="K114" s="35" t="s">
        <v>588</v>
      </c>
      <c r="L114" s="19" t="s">
        <v>589</v>
      </c>
      <c r="M114" s="20">
        <v>35</v>
      </c>
      <c r="N114" s="12"/>
      <c r="O114" s="14">
        <f t="shared" si="3"/>
        <v>0</v>
      </c>
    </row>
    <row r="115" spans="1:15" ht="105" x14ac:dyDescent="0.25">
      <c r="A115" s="33" t="s">
        <v>833</v>
      </c>
      <c r="B115" s="34" t="s">
        <v>883</v>
      </c>
      <c r="C115" s="19" t="s">
        <v>584</v>
      </c>
      <c r="D115" s="16" t="s">
        <v>585</v>
      </c>
      <c r="E115" s="16" t="s">
        <v>884</v>
      </c>
      <c r="F115" s="16" t="s">
        <v>626</v>
      </c>
      <c r="G115" s="19" t="s">
        <v>506</v>
      </c>
      <c r="H115" s="17">
        <v>1</v>
      </c>
      <c r="I115" s="16"/>
      <c r="J115" s="19" t="s">
        <v>506</v>
      </c>
      <c r="K115" s="33" t="s">
        <v>588</v>
      </c>
      <c r="L115" s="19" t="s">
        <v>589</v>
      </c>
      <c r="M115" s="20">
        <v>35</v>
      </c>
      <c r="N115" s="12"/>
      <c r="O115" s="14">
        <f t="shared" si="3"/>
        <v>0</v>
      </c>
    </row>
    <row r="116" spans="1:15" ht="90" x14ac:dyDescent="0.25">
      <c r="A116" s="33" t="s">
        <v>885</v>
      </c>
      <c r="B116" s="34" t="s">
        <v>886</v>
      </c>
      <c r="C116" s="19" t="s">
        <v>584</v>
      </c>
      <c r="D116" s="16" t="s">
        <v>777</v>
      </c>
      <c r="E116" s="16" t="s">
        <v>887</v>
      </c>
      <c r="F116" s="16" t="s">
        <v>626</v>
      </c>
      <c r="G116" s="19" t="s">
        <v>506</v>
      </c>
      <c r="H116" s="17">
        <v>1</v>
      </c>
      <c r="I116" s="16"/>
      <c r="J116" s="19" t="s">
        <v>506</v>
      </c>
      <c r="K116" s="33" t="s">
        <v>588</v>
      </c>
      <c r="L116" s="19" t="s">
        <v>589</v>
      </c>
      <c r="M116" s="20">
        <v>35</v>
      </c>
      <c r="N116" s="12"/>
      <c r="O116" s="14">
        <f t="shared" si="3"/>
        <v>0</v>
      </c>
    </row>
    <row r="117" spans="1:15" ht="120" x14ac:dyDescent="0.25">
      <c r="A117" s="33" t="s">
        <v>888</v>
      </c>
      <c r="B117" s="34" t="s">
        <v>889</v>
      </c>
      <c r="C117" s="19" t="s">
        <v>584</v>
      </c>
      <c r="D117" s="16" t="s">
        <v>605</v>
      </c>
      <c r="E117" s="16" t="s">
        <v>890</v>
      </c>
      <c r="F117" s="16" t="s">
        <v>587</v>
      </c>
      <c r="G117" s="19" t="s">
        <v>506</v>
      </c>
      <c r="H117" s="17">
        <v>1</v>
      </c>
      <c r="I117" s="16"/>
      <c r="J117" s="19" t="s">
        <v>506</v>
      </c>
      <c r="K117" s="33" t="s">
        <v>588</v>
      </c>
      <c r="L117" s="19" t="s">
        <v>589</v>
      </c>
      <c r="M117" s="20">
        <v>35</v>
      </c>
      <c r="N117" s="12"/>
      <c r="O117" s="14">
        <f t="shared" si="3"/>
        <v>0</v>
      </c>
    </row>
    <row r="118" spans="1:15" ht="45" x14ac:dyDescent="0.25">
      <c r="A118" s="33" t="s">
        <v>891</v>
      </c>
      <c r="B118" s="34" t="s">
        <v>892</v>
      </c>
      <c r="C118" s="19" t="s">
        <v>584</v>
      </c>
      <c r="D118" s="16" t="s">
        <v>614</v>
      </c>
      <c r="E118" s="16" t="s">
        <v>893</v>
      </c>
      <c r="F118" s="16" t="s">
        <v>894</v>
      </c>
      <c r="G118" s="19" t="s">
        <v>506</v>
      </c>
      <c r="H118" s="17">
        <v>1</v>
      </c>
      <c r="I118" s="16"/>
      <c r="J118" s="19" t="s">
        <v>506</v>
      </c>
      <c r="K118" s="33" t="s">
        <v>588</v>
      </c>
      <c r="L118" s="19" t="s">
        <v>589</v>
      </c>
      <c r="M118" s="20">
        <v>35</v>
      </c>
      <c r="N118" s="12"/>
      <c r="O118" s="14">
        <f t="shared" si="3"/>
        <v>0</v>
      </c>
    </row>
    <row r="119" spans="1:15" ht="45" x14ac:dyDescent="0.25">
      <c r="A119" s="33" t="s">
        <v>868</v>
      </c>
      <c r="B119" s="34" t="s">
        <v>895</v>
      </c>
      <c r="C119" s="19" t="s">
        <v>740</v>
      </c>
      <c r="D119" s="16" t="s">
        <v>585</v>
      </c>
      <c r="E119" s="16" t="s">
        <v>896</v>
      </c>
      <c r="F119" s="16" t="s">
        <v>611</v>
      </c>
      <c r="G119" s="19" t="s">
        <v>506</v>
      </c>
      <c r="H119" s="17">
        <v>1</v>
      </c>
      <c r="I119" s="16"/>
      <c r="J119" s="19" t="s">
        <v>506</v>
      </c>
      <c r="K119" s="33" t="s">
        <v>588</v>
      </c>
      <c r="L119" s="19" t="s">
        <v>589</v>
      </c>
      <c r="M119" s="20">
        <v>35</v>
      </c>
      <c r="N119" s="12"/>
      <c r="O119" s="14">
        <f t="shared" si="3"/>
        <v>0</v>
      </c>
    </row>
    <row r="120" spans="1:15" ht="90" x14ac:dyDescent="0.25">
      <c r="A120" s="33" t="s">
        <v>868</v>
      </c>
      <c r="B120" s="34" t="s">
        <v>897</v>
      </c>
      <c r="C120" s="19" t="s">
        <v>825</v>
      </c>
      <c r="D120" s="16" t="s">
        <v>599</v>
      </c>
      <c r="E120" s="16" t="s">
        <v>898</v>
      </c>
      <c r="F120" s="16" t="s">
        <v>611</v>
      </c>
      <c r="G120" s="19" t="s">
        <v>506</v>
      </c>
      <c r="H120" s="17">
        <v>1</v>
      </c>
      <c r="I120" s="16"/>
      <c r="J120" s="19" t="s">
        <v>506</v>
      </c>
      <c r="K120" s="33" t="s">
        <v>588</v>
      </c>
      <c r="L120" s="19" t="s">
        <v>589</v>
      </c>
      <c r="M120" s="20">
        <v>35</v>
      </c>
      <c r="N120" s="12"/>
      <c r="O120" s="14">
        <f t="shared" si="3"/>
        <v>0</v>
      </c>
    </row>
    <row r="121" spans="1:15" ht="75" x14ac:dyDescent="0.25">
      <c r="A121" s="33" t="s">
        <v>868</v>
      </c>
      <c r="B121" s="34" t="s">
        <v>899</v>
      </c>
      <c r="C121" s="19" t="s">
        <v>584</v>
      </c>
      <c r="D121" s="16" t="s">
        <v>585</v>
      </c>
      <c r="E121" s="16" t="s">
        <v>900</v>
      </c>
      <c r="F121" s="16" t="s">
        <v>611</v>
      </c>
      <c r="G121" s="19" t="s">
        <v>506</v>
      </c>
      <c r="H121" s="17">
        <v>1</v>
      </c>
      <c r="I121" s="16"/>
      <c r="J121" s="19" t="s">
        <v>506</v>
      </c>
      <c r="K121" s="33" t="s">
        <v>588</v>
      </c>
      <c r="L121" s="19" t="s">
        <v>589</v>
      </c>
      <c r="M121" s="20">
        <v>35</v>
      </c>
      <c r="N121" s="12"/>
      <c r="O121" s="14">
        <f t="shared" si="3"/>
        <v>0</v>
      </c>
    </row>
    <row r="122" spans="1:15" ht="75" x14ac:dyDescent="0.25">
      <c r="A122" s="33" t="s">
        <v>901</v>
      </c>
      <c r="B122" s="34" t="s">
        <v>902</v>
      </c>
      <c r="C122" s="19" t="s">
        <v>584</v>
      </c>
      <c r="D122" s="16" t="s">
        <v>585</v>
      </c>
      <c r="E122" s="16" t="s">
        <v>903</v>
      </c>
      <c r="F122" s="16" t="s">
        <v>611</v>
      </c>
      <c r="G122" s="19" t="s">
        <v>506</v>
      </c>
      <c r="H122" s="17">
        <v>1</v>
      </c>
      <c r="I122" s="16"/>
      <c r="J122" s="19" t="s">
        <v>506</v>
      </c>
      <c r="K122" s="33" t="s">
        <v>588</v>
      </c>
      <c r="L122" s="19" t="s">
        <v>589</v>
      </c>
      <c r="M122" s="20">
        <v>35</v>
      </c>
      <c r="N122" s="12"/>
      <c r="O122" s="14">
        <f t="shared" si="3"/>
        <v>0</v>
      </c>
    </row>
    <row r="123" spans="1:15" ht="60" x14ac:dyDescent="0.25">
      <c r="A123" s="35" t="s">
        <v>904</v>
      </c>
      <c r="B123" s="36" t="s">
        <v>905</v>
      </c>
      <c r="C123" s="37" t="s">
        <v>584</v>
      </c>
      <c r="D123" s="32" t="s">
        <v>585</v>
      </c>
      <c r="E123" s="32" t="s">
        <v>906</v>
      </c>
      <c r="F123" s="16" t="s">
        <v>611</v>
      </c>
      <c r="G123" s="19" t="s">
        <v>506</v>
      </c>
      <c r="H123" s="17">
        <v>1</v>
      </c>
      <c r="I123" s="16"/>
      <c r="J123" s="19" t="s">
        <v>506</v>
      </c>
      <c r="K123" s="33" t="s">
        <v>588</v>
      </c>
      <c r="L123" s="19" t="s">
        <v>589</v>
      </c>
      <c r="M123" s="38">
        <v>45</v>
      </c>
      <c r="N123" s="12"/>
      <c r="O123" s="14">
        <f t="shared" si="3"/>
        <v>0</v>
      </c>
    </row>
    <row r="124" spans="1:15" ht="90" x14ac:dyDescent="0.25">
      <c r="A124" s="30" t="s">
        <v>811</v>
      </c>
      <c r="B124" s="31" t="s">
        <v>907</v>
      </c>
      <c r="C124" s="37" t="s">
        <v>825</v>
      </c>
      <c r="D124" s="32" t="s">
        <v>585</v>
      </c>
      <c r="E124" s="32" t="s">
        <v>908</v>
      </c>
      <c r="F124" s="16" t="s">
        <v>587</v>
      </c>
      <c r="G124" s="19" t="s">
        <v>506</v>
      </c>
      <c r="H124" s="17">
        <v>1</v>
      </c>
      <c r="I124" s="16"/>
      <c r="J124" s="19" t="s">
        <v>506</v>
      </c>
      <c r="K124" s="15" t="s">
        <v>588</v>
      </c>
      <c r="L124" s="19" t="s">
        <v>589</v>
      </c>
      <c r="M124" s="38">
        <v>45</v>
      </c>
      <c r="N124" s="12"/>
      <c r="O124" s="14">
        <f t="shared" si="3"/>
        <v>0</v>
      </c>
    </row>
    <row r="125" spans="1:15" x14ac:dyDescent="0.25">
      <c r="A125" s="4"/>
      <c r="B125" s="5"/>
      <c r="C125" s="5"/>
      <c r="D125" s="5"/>
      <c r="E125" s="5"/>
      <c r="F125" s="5"/>
      <c r="G125" s="5"/>
      <c r="H125" s="13">
        <f t="shared" ref="H125:H129" si="4">IF(G125="SI",1,0)</f>
        <v>0</v>
      </c>
      <c r="I125" s="5"/>
      <c r="J125" s="5"/>
      <c r="K125" s="5"/>
      <c r="L125" s="10"/>
      <c r="M125" s="8"/>
      <c r="N125" s="12"/>
      <c r="O125" s="14">
        <f t="shared" si="3"/>
        <v>0</v>
      </c>
    </row>
    <row r="126" spans="1:15" x14ac:dyDescent="0.25">
      <c r="A126" s="4"/>
      <c r="B126" s="5"/>
      <c r="C126" s="5"/>
      <c r="D126" s="5"/>
      <c r="E126" s="5"/>
      <c r="F126" s="5"/>
      <c r="G126" s="5"/>
      <c r="H126" s="13">
        <f t="shared" si="4"/>
        <v>0</v>
      </c>
      <c r="I126" s="5"/>
      <c r="J126" s="5"/>
      <c r="K126" s="5"/>
      <c r="L126" s="10"/>
      <c r="M126" s="8"/>
      <c r="N126" s="12"/>
      <c r="O126" s="14">
        <f t="shared" si="3"/>
        <v>0</v>
      </c>
    </row>
    <row r="127" spans="1:15" x14ac:dyDescent="0.25">
      <c r="A127" s="4"/>
      <c r="B127" s="5"/>
      <c r="C127" s="5"/>
      <c r="D127" s="5"/>
      <c r="E127" s="5"/>
      <c r="F127" s="5"/>
      <c r="G127" s="5"/>
      <c r="H127" s="13">
        <f t="shared" si="4"/>
        <v>0</v>
      </c>
      <c r="I127" s="5"/>
      <c r="J127" s="5"/>
      <c r="K127" s="5"/>
      <c r="L127" s="10"/>
      <c r="M127" s="8"/>
      <c r="N127" s="12"/>
      <c r="O127" s="14">
        <f t="shared" si="3"/>
        <v>0</v>
      </c>
    </row>
    <row r="128" spans="1:15" x14ac:dyDescent="0.25">
      <c r="A128" s="4"/>
      <c r="B128" s="5"/>
      <c r="C128" s="5"/>
      <c r="D128" s="5"/>
      <c r="E128" s="5"/>
      <c r="F128" s="5"/>
      <c r="G128" s="5"/>
      <c r="H128" s="13">
        <f t="shared" si="4"/>
        <v>0</v>
      </c>
      <c r="I128" s="5"/>
      <c r="J128" s="5"/>
      <c r="K128" s="5"/>
      <c r="L128" s="10"/>
      <c r="M128" s="8"/>
      <c r="N128" s="12"/>
      <c r="O128" s="14">
        <f t="shared" si="3"/>
        <v>0</v>
      </c>
    </row>
    <row r="129" spans="1:15" x14ac:dyDescent="0.25">
      <c r="A129" s="4"/>
      <c r="B129" s="5"/>
      <c r="C129" s="5"/>
      <c r="D129" s="5"/>
      <c r="E129" s="5"/>
      <c r="F129" s="5"/>
      <c r="G129" s="5"/>
      <c r="H129" s="13">
        <f t="shared" si="4"/>
        <v>0</v>
      </c>
      <c r="I129" s="5"/>
      <c r="J129" s="5"/>
      <c r="K129" s="5"/>
      <c r="L129" s="10"/>
      <c r="M129" s="8"/>
      <c r="N129" s="12"/>
      <c r="O129" s="14">
        <f t="shared" si="3"/>
        <v>0</v>
      </c>
    </row>
    <row r="130" spans="1:15" x14ac:dyDescent="0.25">
      <c r="A130" s="4"/>
      <c r="B130" s="5"/>
      <c r="C130" s="5"/>
      <c r="D130" s="5"/>
      <c r="E130" s="5"/>
      <c r="F130" s="5"/>
      <c r="G130" s="5"/>
      <c r="H130" s="13">
        <f t="shared" ref="H130:H135" si="5">IF(G130="SI",1,0)</f>
        <v>0</v>
      </c>
      <c r="I130" s="5"/>
      <c r="J130" s="5"/>
      <c r="K130" s="5"/>
      <c r="L130" s="10"/>
      <c r="M130" s="8"/>
      <c r="N130" s="12"/>
      <c r="O130" s="14">
        <f t="shared" ref="O130:O135" si="6">M130*N130</f>
        <v>0</v>
      </c>
    </row>
    <row r="131" spans="1:15" x14ac:dyDescent="0.25">
      <c r="A131" s="4"/>
      <c r="B131" s="5"/>
      <c r="C131" s="5"/>
      <c r="D131" s="5"/>
      <c r="E131" s="5"/>
      <c r="F131" s="5"/>
      <c r="G131" s="5"/>
      <c r="H131" s="13">
        <f t="shared" si="5"/>
        <v>0</v>
      </c>
      <c r="I131" s="5"/>
      <c r="J131" s="5"/>
      <c r="K131" s="5"/>
      <c r="L131" s="10"/>
      <c r="M131" s="8"/>
      <c r="N131" s="12"/>
      <c r="O131" s="14">
        <f t="shared" si="6"/>
        <v>0</v>
      </c>
    </row>
    <row r="132" spans="1:15" x14ac:dyDescent="0.25">
      <c r="A132" s="4"/>
      <c r="B132" s="5"/>
      <c r="C132" s="5"/>
      <c r="D132" s="5"/>
      <c r="E132" s="5"/>
      <c r="F132" s="5"/>
      <c r="G132" s="5"/>
      <c r="H132" s="13">
        <f t="shared" si="5"/>
        <v>0</v>
      </c>
      <c r="I132" s="5"/>
      <c r="J132" s="5"/>
      <c r="K132" s="5"/>
      <c r="L132" s="10"/>
      <c r="M132" s="8"/>
      <c r="N132" s="12"/>
      <c r="O132" s="14">
        <f t="shared" si="6"/>
        <v>0</v>
      </c>
    </row>
    <row r="133" spans="1:15" x14ac:dyDescent="0.25">
      <c r="A133" s="4"/>
      <c r="B133" s="5"/>
      <c r="C133" s="5"/>
      <c r="D133" s="5"/>
      <c r="E133" s="5"/>
      <c r="F133" s="5"/>
      <c r="G133" s="5"/>
      <c r="H133" s="13">
        <f t="shared" si="5"/>
        <v>0</v>
      </c>
      <c r="I133" s="5"/>
      <c r="J133" s="5"/>
      <c r="K133" s="5"/>
      <c r="L133" s="10"/>
      <c r="M133" s="8"/>
      <c r="N133" s="12"/>
      <c r="O133" s="14">
        <f t="shared" si="6"/>
        <v>0</v>
      </c>
    </row>
    <row r="134" spans="1:15" x14ac:dyDescent="0.25">
      <c r="A134" s="4"/>
      <c r="B134" s="5"/>
      <c r="C134" s="5"/>
      <c r="D134" s="5"/>
      <c r="E134" s="5"/>
      <c r="F134" s="5"/>
      <c r="G134" s="5"/>
      <c r="H134" s="13">
        <f t="shared" si="5"/>
        <v>0</v>
      </c>
      <c r="I134" s="5"/>
      <c r="J134" s="5"/>
      <c r="K134" s="5"/>
      <c r="L134" s="10"/>
      <c r="M134" s="8"/>
      <c r="N134" s="12"/>
      <c r="O134" s="14">
        <f t="shared" si="6"/>
        <v>0</v>
      </c>
    </row>
    <row r="135" spans="1:15" x14ac:dyDescent="0.25">
      <c r="A135" s="4"/>
      <c r="B135" s="5"/>
      <c r="C135" s="5"/>
      <c r="D135" s="5"/>
      <c r="E135" s="5"/>
      <c r="F135" s="5"/>
      <c r="G135" s="5"/>
      <c r="H135" s="13">
        <f t="shared" si="5"/>
        <v>0</v>
      </c>
      <c r="I135" s="5"/>
      <c r="J135" s="5"/>
      <c r="K135" s="5"/>
      <c r="L135" s="10"/>
      <c r="M135" s="8"/>
      <c r="N135" s="12"/>
      <c r="O135" s="14">
        <f t="shared" si="6"/>
        <v>0</v>
      </c>
    </row>
    <row r="136" spans="1:15" x14ac:dyDescent="0.25">
      <c r="A136" s="4"/>
      <c r="B136" s="5"/>
      <c r="C136" s="5"/>
      <c r="D136" s="5"/>
      <c r="E136" s="5"/>
      <c r="F136" s="5"/>
      <c r="G136" s="5"/>
      <c r="H136" s="13">
        <f t="shared" ref="H136:H198" si="7">IF(G136="SI",1,0)</f>
        <v>0</v>
      </c>
      <c r="I136" s="5"/>
      <c r="J136" s="5"/>
      <c r="K136" s="5"/>
      <c r="L136" s="10"/>
      <c r="M136" s="8"/>
      <c r="N136" s="12"/>
      <c r="O136" s="14">
        <f t="shared" ref="O136:O198" si="8">M136*N136</f>
        <v>0</v>
      </c>
    </row>
    <row r="137" spans="1:15" x14ac:dyDescent="0.25">
      <c r="A137" s="4"/>
      <c r="B137" s="5"/>
      <c r="C137" s="5"/>
      <c r="D137" s="5"/>
      <c r="E137" s="5"/>
      <c r="F137" s="5"/>
      <c r="G137" s="5"/>
      <c r="H137" s="13">
        <f t="shared" si="7"/>
        <v>0</v>
      </c>
      <c r="I137" s="5"/>
      <c r="J137" s="5"/>
      <c r="K137" s="5"/>
      <c r="L137" s="10"/>
      <c r="M137" s="8"/>
      <c r="N137" s="12"/>
      <c r="O137" s="14">
        <f t="shared" si="8"/>
        <v>0</v>
      </c>
    </row>
    <row r="138" spans="1:15" x14ac:dyDescent="0.25">
      <c r="A138" s="4"/>
      <c r="B138" s="5"/>
      <c r="C138" s="5"/>
      <c r="D138" s="5"/>
      <c r="E138" s="5"/>
      <c r="F138" s="5"/>
      <c r="G138" s="5"/>
      <c r="H138" s="13">
        <f t="shared" si="7"/>
        <v>0</v>
      </c>
      <c r="I138" s="5"/>
      <c r="J138" s="5"/>
      <c r="K138" s="5"/>
      <c r="L138" s="10"/>
      <c r="M138" s="8"/>
      <c r="N138" s="12"/>
      <c r="O138" s="14">
        <f t="shared" si="8"/>
        <v>0</v>
      </c>
    </row>
    <row r="139" spans="1:15" x14ac:dyDescent="0.25">
      <c r="A139" s="4"/>
      <c r="B139" s="5"/>
      <c r="C139" s="5"/>
      <c r="D139" s="5"/>
      <c r="E139" s="5"/>
      <c r="F139" s="5"/>
      <c r="G139" s="5"/>
      <c r="H139" s="13">
        <f t="shared" si="7"/>
        <v>0</v>
      </c>
      <c r="I139" s="5"/>
      <c r="J139" s="5"/>
      <c r="K139" s="5"/>
      <c r="L139" s="10"/>
      <c r="M139" s="8"/>
      <c r="N139" s="12"/>
      <c r="O139" s="14">
        <f t="shared" si="8"/>
        <v>0</v>
      </c>
    </row>
    <row r="140" spans="1:15" x14ac:dyDescent="0.25">
      <c r="A140" s="4"/>
      <c r="B140" s="5"/>
      <c r="C140" s="5"/>
      <c r="D140" s="5"/>
      <c r="E140" s="5"/>
      <c r="F140" s="5"/>
      <c r="G140" s="5"/>
      <c r="H140" s="13">
        <f t="shared" si="7"/>
        <v>0</v>
      </c>
      <c r="I140" s="5"/>
      <c r="J140" s="5"/>
      <c r="K140" s="5"/>
      <c r="L140" s="10"/>
      <c r="M140" s="8"/>
      <c r="N140" s="12"/>
      <c r="O140" s="14">
        <f t="shared" si="8"/>
        <v>0</v>
      </c>
    </row>
    <row r="141" spans="1:15" x14ac:dyDescent="0.25">
      <c r="A141" s="4"/>
      <c r="B141" s="5"/>
      <c r="C141" s="5"/>
      <c r="D141" s="5"/>
      <c r="E141" s="5"/>
      <c r="F141" s="5"/>
      <c r="G141" s="5"/>
      <c r="H141" s="13">
        <f t="shared" si="7"/>
        <v>0</v>
      </c>
      <c r="I141" s="5"/>
      <c r="J141" s="5"/>
      <c r="K141" s="5"/>
      <c r="L141" s="10"/>
      <c r="M141" s="8"/>
      <c r="N141" s="12"/>
      <c r="O141" s="14">
        <f t="shared" si="8"/>
        <v>0</v>
      </c>
    </row>
    <row r="142" spans="1:15" x14ac:dyDescent="0.25">
      <c r="A142" s="4"/>
      <c r="B142" s="5"/>
      <c r="C142" s="5"/>
      <c r="D142" s="5"/>
      <c r="E142" s="5"/>
      <c r="F142" s="5"/>
      <c r="G142" s="5"/>
      <c r="H142" s="13">
        <f t="shared" si="7"/>
        <v>0</v>
      </c>
      <c r="I142" s="5"/>
      <c r="J142" s="5"/>
      <c r="K142" s="5"/>
      <c r="L142" s="10"/>
      <c r="M142" s="8"/>
      <c r="N142" s="12"/>
      <c r="O142" s="14">
        <f t="shared" si="8"/>
        <v>0</v>
      </c>
    </row>
    <row r="143" spans="1:15" x14ac:dyDescent="0.25">
      <c r="A143" s="4"/>
      <c r="B143" s="5"/>
      <c r="C143" s="5"/>
      <c r="D143" s="5"/>
      <c r="E143" s="5"/>
      <c r="F143" s="5"/>
      <c r="G143" s="5"/>
      <c r="H143" s="13">
        <f t="shared" si="7"/>
        <v>0</v>
      </c>
      <c r="I143" s="5"/>
      <c r="J143" s="5"/>
      <c r="K143" s="5"/>
      <c r="L143" s="10"/>
      <c r="M143" s="8"/>
      <c r="N143" s="12"/>
      <c r="O143" s="14">
        <f t="shared" si="8"/>
        <v>0</v>
      </c>
    </row>
    <row r="144" spans="1:15" x14ac:dyDescent="0.25">
      <c r="A144" s="4"/>
      <c r="B144" s="5"/>
      <c r="C144" s="5"/>
      <c r="D144" s="5"/>
      <c r="E144" s="5"/>
      <c r="F144" s="5"/>
      <c r="G144" s="5"/>
      <c r="H144" s="13">
        <f t="shared" si="7"/>
        <v>0</v>
      </c>
      <c r="I144" s="5"/>
      <c r="J144" s="5"/>
      <c r="K144" s="5"/>
      <c r="L144" s="10"/>
      <c r="M144" s="8"/>
      <c r="N144" s="12"/>
      <c r="O144" s="14">
        <f t="shared" si="8"/>
        <v>0</v>
      </c>
    </row>
    <row r="145" spans="1:15" x14ac:dyDescent="0.25">
      <c r="A145" s="4"/>
      <c r="B145" s="5"/>
      <c r="C145" s="5"/>
      <c r="D145" s="5"/>
      <c r="E145" s="5"/>
      <c r="F145" s="5"/>
      <c r="G145" s="5"/>
      <c r="H145" s="13">
        <f t="shared" si="7"/>
        <v>0</v>
      </c>
      <c r="I145" s="5"/>
      <c r="J145" s="5"/>
      <c r="K145" s="5"/>
      <c r="L145" s="10"/>
      <c r="M145" s="8"/>
      <c r="N145" s="12"/>
      <c r="O145" s="14">
        <f t="shared" si="8"/>
        <v>0</v>
      </c>
    </row>
    <row r="146" spans="1:15" x14ac:dyDescent="0.25">
      <c r="A146" s="4"/>
      <c r="B146" s="5"/>
      <c r="C146" s="5"/>
      <c r="D146" s="5"/>
      <c r="E146" s="5"/>
      <c r="F146" s="5"/>
      <c r="G146" s="5"/>
      <c r="H146" s="13">
        <f t="shared" si="7"/>
        <v>0</v>
      </c>
      <c r="I146" s="5"/>
      <c r="J146" s="5"/>
      <c r="K146" s="5"/>
      <c r="L146" s="10"/>
      <c r="M146" s="8"/>
      <c r="N146" s="12"/>
      <c r="O146" s="14">
        <f t="shared" si="8"/>
        <v>0</v>
      </c>
    </row>
    <row r="147" spans="1:15" x14ac:dyDescent="0.25">
      <c r="A147" s="4"/>
      <c r="B147" s="5"/>
      <c r="C147" s="5"/>
      <c r="D147" s="5"/>
      <c r="E147" s="5"/>
      <c r="F147" s="5"/>
      <c r="G147" s="5"/>
      <c r="H147" s="13">
        <f t="shared" si="7"/>
        <v>0</v>
      </c>
      <c r="I147" s="5"/>
      <c r="J147" s="5"/>
      <c r="K147" s="5"/>
      <c r="L147" s="10"/>
      <c r="M147" s="8"/>
      <c r="N147" s="12"/>
      <c r="O147" s="14">
        <f t="shared" si="8"/>
        <v>0</v>
      </c>
    </row>
    <row r="148" spans="1:15" x14ac:dyDescent="0.25">
      <c r="A148" s="4"/>
      <c r="B148" s="5"/>
      <c r="C148" s="5"/>
      <c r="D148" s="5"/>
      <c r="E148" s="5"/>
      <c r="F148" s="5"/>
      <c r="G148" s="5"/>
      <c r="H148" s="13">
        <f t="shared" si="7"/>
        <v>0</v>
      </c>
      <c r="I148" s="5"/>
      <c r="J148" s="5"/>
      <c r="K148" s="5"/>
      <c r="L148" s="10"/>
      <c r="M148" s="8"/>
      <c r="N148" s="12"/>
      <c r="O148" s="14">
        <f t="shared" si="8"/>
        <v>0</v>
      </c>
    </row>
    <row r="149" spans="1:15" x14ac:dyDescent="0.25">
      <c r="A149" s="4"/>
      <c r="B149" s="5"/>
      <c r="C149" s="5"/>
      <c r="D149" s="5"/>
      <c r="E149" s="5"/>
      <c r="F149" s="5"/>
      <c r="G149" s="5"/>
      <c r="H149" s="13">
        <f t="shared" si="7"/>
        <v>0</v>
      </c>
      <c r="I149" s="5"/>
      <c r="J149" s="5"/>
      <c r="K149" s="5"/>
      <c r="L149" s="10"/>
      <c r="M149" s="8"/>
      <c r="N149" s="12"/>
      <c r="O149" s="14">
        <f t="shared" si="8"/>
        <v>0</v>
      </c>
    </row>
    <row r="150" spans="1:15" x14ac:dyDescent="0.25">
      <c r="A150" s="4"/>
      <c r="B150" s="5"/>
      <c r="C150" s="5"/>
      <c r="D150" s="5"/>
      <c r="E150" s="5"/>
      <c r="F150" s="5"/>
      <c r="G150" s="5"/>
      <c r="H150" s="13">
        <f t="shared" si="7"/>
        <v>0</v>
      </c>
      <c r="I150" s="5"/>
      <c r="J150" s="5"/>
      <c r="K150" s="5"/>
      <c r="L150" s="10"/>
      <c r="M150" s="8"/>
      <c r="N150" s="12"/>
      <c r="O150" s="14">
        <f t="shared" si="8"/>
        <v>0</v>
      </c>
    </row>
    <row r="151" spans="1:15" x14ac:dyDescent="0.25">
      <c r="A151" s="4"/>
      <c r="B151" s="5"/>
      <c r="C151" s="5"/>
      <c r="D151" s="5"/>
      <c r="E151" s="5"/>
      <c r="F151" s="5"/>
      <c r="G151" s="5"/>
      <c r="H151" s="13">
        <f t="shared" si="7"/>
        <v>0</v>
      </c>
      <c r="I151" s="5"/>
      <c r="J151" s="5"/>
      <c r="K151" s="5"/>
      <c r="L151" s="10"/>
      <c r="M151" s="8"/>
      <c r="N151" s="12"/>
      <c r="O151" s="14">
        <f t="shared" si="8"/>
        <v>0</v>
      </c>
    </row>
    <row r="152" spans="1:15" x14ac:dyDescent="0.25">
      <c r="A152" s="4"/>
      <c r="B152" s="5"/>
      <c r="C152" s="5"/>
      <c r="D152" s="5"/>
      <c r="E152" s="5"/>
      <c r="F152" s="5"/>
      <c r="G152" s="5"/>
      <c r="H152" s="13">
        <f t="shared" si="7"/>
        <v>0</v>
      </c>
      <c r="I152" s="5"/>
      <c r="J152" s="5"/>
      <c r="K152" s="5"/>
      <c r="L152" s="10"/>
      <c r="M152" s="8"/>
      <c r="N152" s="12"/>
      <c r="O152" s="14">
        <f t="shared" si="8"/>
        <v>0</v>
      </c>
    </row>
    <row r="153" spans="1:15" x14ac:dyDescent="0.25">
      <c r="A153" s="4"/>
      <c r="B153" s="5"/>
      <c r="C153" s="5"/>
      <c r="D153" s="5"/>
      <c r="E153" s="5"/>
      <c r="F153" s="5"/>
      <c r="G153" s="5"/>
      <c r="H153" s="13">
        <f t="shared" si="7"/>
        <v>0</v>
      </c>
      <c r="I153" s="5"/>
      <c r="J153" s="5"/>
      <c r="K153" s="5"/>
      <c r="L153" s="10"/>
      <c r="M153" s="8"/>
      <c r="N153" s="12"/>
      <c r="O153" s="14">
        <f t="shared" si="8"/>
        <v>0</v>
      </c>
    </row>
    <row r="154" spans="1:15" x14ac:dyDescent="0.25">
      <c r="A154" s="4"/>
      <c r="B154" s="5"/>
      <c r="C154" s="5"/>
      <c r="D154" s="5"/>
      <c r="E154" s="5"/>
      <c r="F154" s="5"/>
      <c r="G154" s="5"/>
      <c r="H154" s="13">
        <f t="shared" si="7"/>
        <v>0</v>
      </c>
      <c r="I154" s="5"/>
      <c r="J154" s="5"/>
      <c r="K154" s="5"/>
      <c r="L154" s="10"/>
      <c r="M154" s="8"/>
      <c r="N154" s="12"/>
      <c r="O154" s="14">
        <f t="shared" si="8"/>
        <v>0</v>
      </c>
    </row>
    <row r="155" spans="1:15" x14ac:dyDescent="0.25">
      <c r="A155" s="4"/>
      <c r="B155" s="5"/>
      <c r="C155" s="5"/>
      <c r="D155" s="5"/>
      <c r="E155" s="5"/>
      <c r="F155" s="5"/>
      <c r="G155" s="5"/>
      <c r="H155" s="13">
        <f t="shared" si="7"/>
        <v>0</v>
      </c>
      <c r="I155" s="5"/>
      <c r="J155" s="5"/>
      <c r="K155" s="5"/>
      <c r="L155" s="10"/>
      <c r="M155" s="8"/>
      <c r="N155" s="12"/>
      <c r="O155" s="14">
        <f t="shared" si="8"/>
        <v>0</v>
      </c>
    </row>
    <row r="156" spans="1:15" x14ac:dyDescent="0.25">
      <c r="A156" s="4"/>
      <c r="B156" s="5"/>
      <c r="C156" s="5"/>
      <c r="D156" s="5"/>
      <c r="E156" s="5"/>
      <c r="F156" s="5"/>
      <c r="G156" s="5"/>
      <c r="H156" s="13">
        <f t="shared" si="7"/>
        <v>0</v>
      </c>
      <c r="I156" s="5"/>
      <c r="J156" s="5"/>
      <c r="K156" s="5"/>
      <c r="L156" s="10"/>
      <c r="M156" s="8"/>
      <c r="N156" s="12"/>
      <c r="O156" s="14">
        <f t="shared" si="8"/>
        <v>0</v>
      </c>
    </row>
    <row r="157" spans="1:15" x14ac:dyDescent="0.25">
      <c r="A157" s="4"/>
      <c r="B157" s="5"/>
      <c r="C157" s="5"/>
      <c r="D157" s="5"/>
      <c r="E157" s="5"/>
      <c r="F157" s="5"/>
      <c r="G157" s="5"/>
      <c r="H157" s="13">
        <f t="shared" si="7"/>
        <v>0</v>
      </c>
      <c r="I157" s="5"/>
      <c r="J157" s="5"/>
      <c r="K157" s="5"/>
      <c r="L157" s="10"/>
      <c r="M157" s="8"/>
      <c r="N157" s="12"/>
      <c r="O157" s="14">
        <f t="shared" si="8"/>
        <v>0</v>
      </c>
    </row>
    <row r="158" spans="1:15" x14ac:dyDescent="0.25">
      <c r="A158" s="4"/>
      <c r="B158" s="5"/>
      <c r="C158" s="5"/>
      <c r="D158" s="5"/>
      <c r="E158" s="5"/>
      <c r="F158" s="5"/>
      <c r="G158" s="5"/>
      <c r="H158" s="13">
        <f t="shared" si="7"/>
        <v>0</v>
      </c>
      <c r="I158" s="5"/>
      <c r="J158" s="5"/>
      <c r="K158" s="5"/>
      <c r="L158" s="10"/>
      <c r="M158" s="8"/>
      <c r="N158" s="12"/>
      <c r="O158" s="14">
        <f t="shared" si="8"/>
        <v>0</v>
      </c>
    </row>
    <row r="159" spans="1:15" x14ac:dyDescent="0.25">
      <c r="A159" s="4"/>
      <c r="B159" s="5"/>
      <c r="C159" s="5"/>
      <c r="D159" s="5"/>
      <c r="E159" s="5"/>
      <c r="F159" s="5"/>
      <c r="G159" s="5"/>
      <c r="H159" s="13">
        <f t="shared" si="7"/>
        <v>0</v>
      </c>
      <c r="I159" s="5"/>
      <c r="J159" s="5"/>
      <c r="K159" s="5"/>
      <c r="L159" s="10"/>
      <c r="M159" s="8"/>
      <c r="N159" s="12"/>
      <c r="O159" s="14">
        <f t="shared" si="8"/>
        <v>0</v>
      </c>
    </row>
    <row r="160" spans="1:15" x14ac:dyDescent="0.25">
      <c r="A160" s="4"/>
      <c r="B160" s="5"/>
      <c r="C160" s="5"/>
      <c r="D160" s="5"/>
      <c r="E160" s="5"/>
      <c r="F160" s="5"/>
      <c r="G160" s="5"/>
      <c r="H160" s="13">
        <f t="shared" si="7"/>
        <v>0</v>
      </c>
      <c r="I160" s="5"/>
      <c r="J160" s="5"/>
      <c r="K160" s="5"/>
      <c r="L160" s="10"/>
      <c r="M160" s="8"/>
      <c r="N160" s="12"/>
      <c r="O160" s="14">
        <f t="shared" si="8"/>
        <v>0</v>
      </c>
    </row>
    <row r="161" spans="1:15" x14ac:dyDescent="0.25">
      <c r="A161" s="4"/>
      <c r="B161" s="5"/>
      <c r="C161" s="5"/>
      <c r="D161" s="5"/>
      <c r="E161" s="5"/>
      <c r="F161" s="5"/>
      <c r="G161" s="5"/>
      <c r="H161" s="13">
        <f t="shared" si="7"/>
        <v>0</v>
      </c>
      <c r="I161" s="5"/>
      <c r="J161" s="5"/>
      <c r="K161" s="5"/>
      <c r="L161" s="10"/>
      <c r="M161" s="8"/>
      <c r="N161" s="12"/>
      <c r="O161" s="14">
        <f t="shared" si="8"/>
        <v>0</v>
      </c>
    </row>
    <row r="162" spans="1:15" x14ac:dyDescent="0.25">
      <c r="A162" s="4"/>
      <c r="B162" s="5"/>
      <c r="C162" s="5"/>
      <c r="D162" s="5"/>
      <c r="E162" s="5"/>
      <c r="F162" s="5"/>
      <c r="G162" s="5"/>
      <c r="H162" s="13">
        <f t="shared" si="7"/>
        <v>0</v>
      </c>
      <c r="I162" s="5"/>
      <c r="J162" s="5"/>
      <c r="K162" s="5"/>
      <c r="L162" s="10"/>
      <c r="M162" s="8"/>
      <c r="N162" s="12"/>
      <c r="O162" s="14">
        <f t="shared" si="8"/>
        <v>0</v>
      </c>
    </row>
    <row r="163" spans="1:15" x14ac:dyDescent="0.25">
      <c r="A163" s="4"/>
      <c r="B163" s="5"/>
      <c r="C163" s="5"/>
      <c r="D163" s="5"/>
      <c r="E163" s="5"/>
      <c r="F163" s="5"/>
      <c r="G163" s="5"/>
      <c r="H163" s="13">
        <f t="shared" si="7"/>
        <v>0</v>
      </c>
      <c r="I163" s="5"/>
      <c r="J163" s="5"/>
      <c r="K163" s="5"/>
      <c r="L163" s="10"/>
      <c r="M163" s="8"/>
      <c r="N163" s="12"/>
      <c r="O163" s="14">
        <f t="shared" si="8"/>
        <v>0</v>
      </c>
    </row>
    <row r="164" spans="1:15" x14ac:dyDescent="0.25">
      <c r="A164" s="4"/>
      <c r="B164" s="5"/>
      <c r="C164" s="5"/>
      <c r="D164" s="5"/>
      <c r="E164" s="5"/>
      <c r="F164" s="5"/>
      <c r="G164" s="5"/>
      <c r="H164" s="13">
        <f t="shared" si="7"/>
        <v>0</v>
      </c>
      <c r="I164" s="5"/>
      <c r="J164" s="5"/>
      <c r="K164" s="5"/>
      <c r="L164" s="10"/>
      <c r="M164" s="8"/>
      <c r="N164" s="12"/>
      <c r="O164" s="14">
        <f t="shared" si="8"/>
        <v>0</v>
      </c>
    </row>
    <row r="165" spans="1:15" x14ac:dyDescent="0.25">
      <c r="A165" s="4"/>
      <c r="B165" s="5"/>
      <c r="C165" s="5"/>
      <c r="D165" s="5"/>
      <c r="E165" s="5"/>
      <c r="F165" s="5"/>
      <c r="G165" s="5"/>
      <c r="H165" s="13">
        <f t="shared" si="7"/>
        <v>0</v>
      </c>
      <c r="I165" s="5"/>
      <c r="J165" s="5"/>
      <c r="K165" s="5"/>
      <c r="L165" s="10"/>
      <c r="M165" s="8"/>
      <c r="N165" s="12"/>
      <c r="O165" s="14">
        <f t="shared" si="8"/>
        <v>0</v>
      </c>
    </row>
    <row r="166" spans="1:15" x14ac:dyDescent="0.25">
      <c r="A166" s="4"/>
      <c r="B166" s="5"/>
      <c r="C166" s="5"/>
      <c r="D166" s="5"/>
      <c r="E166" s="5"/>
      <c r="F166" s="5"/>
      <c r="G166" s="5"/>
      <c r="H166" s="13">
        <f t="shared" si="7"/>
        <v>0</v>
      </c>
      <c r="I166" s="5"/>
      <c r="J166" s="5"/>
      <c r="K166" s="5"/>
      <c r="L166" s="10"/>
      <c r="M166" s="8"/>
      <c r="N166" s="12"/>
      <c r="O166" s="14">
        <f t="shared" si="8"/>
        <v>0</v>
      </c>
    </row>
    <row r="167" spans="1:15" x14ac:dyDescent="0.25">
      <c r="A167" s="4"/>
      <c r="B167" s="5"/>
      <c r="C167" s="5"/>
      <c r="D167" s="5"/>
      <c r="E167" s="5"/>
      <c r="F167" s="5"/>
      <c r="G167" s="5"/>
      <c r="H167" s="13">
        <f t="shared" si="7"/>
        <v>0</v>
      </c>
      <c r="I167" s="5"/>
      <c r="J167" s="5"/>
      <c r="K167" s="5"/>
      <c r="L167" s="10"/>
      <c r="M167" s="8"/>
      <c r="N167" s="12"/>
      <c r="O167" s="14">
        <f t="shared" si="8"/>
        <v>0</v>
      </c>
    </row>
    <row r="168" spans="1:15" x14ac:dyDescent="0.25">
      <c r="A168" s="4"/>
      <c r="B168" s="5"/>
      <c r="C168" s="5"/>
      <c r="D168" s="5"/>
      <c r="E168" s="5"/>
      <c r="F168" s="5"/>
      <c r="G168" s="5"/>
      <c r="H168" s="13">
        <f t="shared" si="7"/>
        <v>0</v>
      </c>
      <c r="I168" s="5"/>
      <c r="J168" s="5"/>
      <c r="K168" s="5"/>
      <c r="L168" s="10"/>
      <c r="M168" s="8"/>
      <c r="N168" s="12"/>
      <c r="O168" s="14">
        <f t="shared" si="8"/>
        <v>0</v>
      </c>
    </row>
    <row r="169" spans="1:15" x14ac:dyDescent="0.25">
      <c r="A169" s="4"/>
      <c r="B169" s="5"/>
      <c r="C169" s="5"/>
      <c r="D169" s="5"/>
      <c r="E169" s="5"/>
      <c r="F169" s="5"/>
      <c r="G169" s="5"/>
      <c r="H169" s="13">
        <f t="shared" si="7"/>
        <v>0</v>
      </c>
      <c r="I169" s="5"/>
      <c r="J169" s="5"/>
      <c r="K169" s="5"/>
      <c r="L169" s="10"/>
      <c r="M169" s="8"/>
      <c r="N169" s="12"/>
      <c r="O169" s="14">
        <f t="shared" si="8"/>
        <v>0</v>
      </c>
    </row>
    <row r="170" spans="1:15" x14ac:dyDescent="0.25">
      <c r="A170" s="4"/>
      <c r="B170" s="5"/>
      <c r="C170" s="5"/>
      <c r="D170" s="5"/>
      <c r="E170" s="5"/>
      <c r="F170" s="5"/>
      <c r="G170" s="5"/>
      <c r="H170" s="13">
        <f t="shared" si="7"/>
        <v>0</v>
      </c>
      <c r="I170" s="5"/>
      <c r="J170" s="5"/>
      <c r="K170" s="5"/>
      <c r="L170" s="10"/>
      <c r="M170" s="8"/>
      <c r="N170" s="12"/>
      <c r="O170" s="14">
        <f t="shared" si="8"/>
        <v>0</v>
      </c>
    </row>
    <row r="171" spans="1:15" x14ac:dyDescent="0.25">
      <c r="A171" s="4"/>
      <c r="B171" s="5"/>
      <c r="C171" s="5"/>
      <c r="D171" s="5"/>
      <c r="E171" s="5"/>
      <c r="F171" s="5"/>
      <c r="G171" s="5"/>
      <c r="H171" s="13">
        <f t="shared" si="7"/>
        <v>0</v>
      </c>
      <c r="I171" s="5"/>
      <c r="J171" s="5"/>
      <c r="K171" s="5"/>
      <c r="L171" s="10"/>
      <c r="M171" s="8"/>
      <c r="N171" s="12"/>
      <c r="O171" s="14">
        <f t="shared" si="8"/>
        <v>0</v>
      </c>
    </row>
    <row r="172" spans="1:15" x14ac:dyDescent="0.25">
      <c r="A172" s="4"/>
      <c r="B172" s="5"/>
      <c r="C172" s="5"/>
      <c r="D172" s="5"/>
      <c r="E172" s="5"/>
      <c r="F172" s="5"/>
      <c r="G172" s="5"/>
      <c r="H172" s="13">
        <f t="shared" si="7"/>
        <v>0</v>
      </c>
      <c r="I172" s="5"/>
      <c r="J172" s="5"/>
      <c r="K172" s="5"/>
      <c r="L172" s="10"/>
      <c r="M172" s="8"/>
      <c r="N172" s="12"/>
      <c r="O172" s="14">
        <f t="shared" si="8"/>
        <v>0</v>
      </c>
    </row>
    <row r="173" spans="1:15" x14ac:dyDescent="0.25">
      <c r="A173" s="4"/>
      <c r="B173" s="5"/>
      <c r="C173" s="5"/>
      <c r="D173" s="5"/>
      <c r="E173" s="5"/>
      <c r="F173" s="5"/>
      <c r="G173" s="5"/>
      <c r="H173" s="13">
        <f t="shared" si="7"/>
        <v>0</v>
      </c>
      <c r="I173" s="5"/>
      <c r="J173" s="5"/>
      <c r="K173" s="5"/>
      <c r="L173" s="10"/>
      <c r="M173" s="8"/>
      <c r="N173" s="12"/>
      <c r="O173" s="14">
        <f t="shared" si="8"/>
        <v>0</v>
      </c>
    </row>
    <row r="174" spans="1:15" x14ac:dyDescent="0.25">
      <c r="A174" s="4"/>
      <c r="B174" s="5"/>
      <c r="C174" s="5"/>
      <c r="D174" s="5"/>
      <c r="E174" s="5"/>
      <c r="F174" s="5"/>
      <c r="G174" s="5"/>
      <c r="H174" s="13">
        <f t="shared" si="7"/>
        <v>0</v>
      </c>
      <c r="I174" s="5"/>
      <c r="J174" s="5"/>
      <c r="K174" s="5"/>
      <c r="L174" s="10"/>
      <c r="M174" s="8"/>
      <c r="N174" s="12"/>
      <c r="O174" s="14">
        <f t="shared" si="8"/>
        <v>0</v>
      </c>
    </row>
    <row r="175" spans="1:15" x14ac:dyDescent="0.25">
      <c r="A175" s="4"/>
      <c r="B175" s="5"/>
      <c r="C175" s="5"/>
      <c r="D175" s="5"/>
      <c r="E175" s="5"/>
      <c r="F175" s="5"/>
      <c r="G175" s="5"/>
      <c r="H175" s="13">
        <f t="shared" si="7"/>
        <v>0</v>
      </c>
      <c r="I175" s="5"/>
      <c r="J175" s="5"/>
      <c r="K175" s="5"/>
      <c r="L175" s="10"/>
      <c r="M175" s="8"/>
      <c r="N175" s="12"/>
      <c r="O175" s="14">
        <f t="shared" si="8"/>
        <v>0</v>
      </c>
    </row>
    <row r="176" spans="1:15" x14ac:dyDescent="0.25">
      <c r="A176" s="4"/>
      <c r="B176" s="5"/>
      <c r="C176" s="5"/>
      <c r="D176" s="5"/>
      <c r="E176" s="5"/>
      <c r="F176" s="5"/>
      <c r="G176" s="5"/>
      <c r="H176" s="13">
        <f t="shared" si="7"/>
        <v>0</v>
      </c>
      <c r="I176" s="5"/>
      <c r="J176" s="5"/>
      <c r="K176" s="5"/>
      <c r="L176" s="10"/>
      <c r="M176" s="8"/>
      <c r="N176" s="12"/>
      <c r="O176" s="14">
        <f t="shared" si="8"/>
        <v>0</v>
      </c>
    </row>
    <row r="177" spans="1:15" x14ac:dyDescent="0.25">
      <c r="A177" s="4"/>
      <c r="B177" s="5"/>
      <c r="C177" s="5"/>
      <c r="D177" s="5"/>
      <c r="E177" s="5"/>
      <c r="F177" s="5"/>
      <c r="G177" s="5"/>
      <c r="H177" s="13">
        <f t="shared" si="7"/>
        <v>0</v>
      </c>
      <c r="I177" s="5"/>
      <c r="J177" s="5"/>
      <c r="K177" s="5"/>
      <c r="L177" s="10"/>
      <c r="M177" s="8"/>
      <c r="N177" s="12"/>
      <c r="O177" s="14">
        <f t="shared" si="8"/>
        <v>0</v>
      </c>
    </row>
    <row r="178" spans="1:15" x14ac:dyDescent="0.25">
      <c r="A178" s="4"/>
      <c r="B178" s="5"/>
      <c r="C178" s="5"/>
      <c r="D178" s="5"/>
      <c r="E178" s="5"/>
      <c r="F178" s="5"/>
      <c r="G178" s="5"/>
      <c r="H178" s="13">
        <f t="shared" si="7"/>
        <v>0</v>
      </c>
      <c r="I178" s="5"/>
      <c r="J178" s="5"/>
      <c r="K178" s="5"/>
      <c r="L178" s="10"/>
      <c r="M178" s="8"/>
      <c r="N178" s="12"/>
      <c r="O178" s="14">
        <f t="shared" si="8"/>
        <v>0</v>
      </c>
    </row>
    <row r="179" spans="1:15" x14ac:dyDescent="0.25">
      <c r="A179" s="4"/>
      <c r="B179" s="5"/>
      <c r="C179" s="5"/>
      <c r="D179" s="5"/>
      <c r="E179" s="5"/>
      <c r="F179" s="5"/>
      <c r="G179" s="5"/>
      <c r="H179" s="13">
        <f t="shared" si="7"/>
        <v>0</v>
      </c>
      <c r="I179" s="5"/>
      <c r="J179" s="5"/>
      <c r="K179" s="5"/>
      <c r="L179" s="10"/>
      <c r="M179" s="8"/>
      <c r="N179" s="12"/>
      <c r="O179" s="14">
        <f t="shared" si="8"/>
        <v>0</v>
      </c>
    </row>
    <row r="180" spans="1:15" x14ac:dyDescent="0.25">
      <c r="A180" s="4"/>
      <c r="B180" s="5"/>
      <c r="C180" s="5"/>
      <c r="D180" s="5"/>
      <c r="E180" s="5"/>
      <c r="F180" s="5"/>
      <c r="G180" s="5"/>
      <c r="H180" s="13">
        <f t="shared" si="7"/>
        <v>0</v>
      </c>
      <c r="I180" s="5"/>
      <c r="J180" s="5"/>
      <c r="K180" s="5"/>
      <c r="L180" s="10"/>
      <c r="M180" s="8"/>
      <c r="N180" s="12"/>
      <c r="O180" s="14">
        <f t="shared" si="8"/>
        <v>0</v>
      </c>
    </row>
    <row r="181" spans="1:15" x14ac:dyDescent="0.25">
      <c r="A181" s="4"/>
      <c r="B181" s="5"/>
      <c r="C181" s="5"/>
      <c r="D181" s="5"/>
      <c r="E181" s="5"/>
      <c r="F181" s="5"/>
      <c r="G181" s="5"/>
      <c r="H181" s="13">
        <f t="shared" si="7"/>
        <v>0</v>
      </c>
      <c r="I181" s="5"/>
      <c r="J181" s="5"/>
      <c r="K181" s="5"/>
      <c r="L181" s="10"/>
      <c r="M181" s="8"/>
      <c r="N181" s="12"/>
      <c r="O181" s="14">
        <f t="shared" si="8"/>
        <v>0</v>
      </c>
    </row>
    <row r="182" spans="1:15" x14ac:dyDescent="0.25">
      <c r="A182" s="4"/>
      <c r="B182" s="5"/>
      <c r="C182" s="5"/>
      <c r="D182" s="5"/>
      <c r="E182" s="5"/>
      <c r="F182" s="5"/>
      <c r="G182" s="5"/>
      <c r="H182" s="13">
        <f t="shared" si="7"/>
        <v>0</v>
      </c>
      <c r="I182" s="5"/>
      <c r="J182" s="5"/>
      <c r="K182" s="5"/>
      <c r="L182" s="10"/>
      <c r="M182" s="8"/>
      <c r="N182" s="12"/>
      <c r="O182" s="14">
        <f t="shared" si="8"/>
        <v>0</v>
      </c>
    </row>
    <row r="183" spans="1:15" x14ac:dyDescent="0.25">
      <c r="A183" s="4"/>
      <c r="B183" s="5"/>
      <c r="C183" s="5"/>
      <c r="D183" s="5"/>
      <c r="E183" s="5"/>
      <c r="F183" s="5"/>
      <c r="G183" s="5"/>
      <c r="H183" s="13">
        <f t="shared" si="7"/>
        <v>0</v>
      </c>
      <c r="I183" s="5"/>
      <c r="J183" s="5"/>
      <c r="K183" s="5"/>
      <c r="L183" s="10"/>
      <c r="M183" s="8"/>
      <c r="N183" s="12"/>
      <c r="O183" s="14">
        <f t="shared" si="8"/>
        <v>0</v>
      </c>
    </row>
    <row r="184" spans="1:15" x14ac:dyDescent="0.25">
      <c r="A184" s="4"/>
      <c r="B184" s="5"/>
      <c r="C184" s="5"/>
      <c r="D184" s="5"/>
      <c r="E184" s="5"/>
      <c r="F184" s="5"/>
      <c r="G184" s="5"/>
      <c r="H184" s="13">
        <f t="shared" si="7"/>
        <v>0</v>
      </c>
      <c r="I184" s="5"/>
      <c r="J184" s="5"/>
      <c r="K184" s="5"/>
      <c r="L184" s="10"/>
      <c r="M184" s="8"/>
      <c r="N184" s="12"/>
      <c r="O184" s="14">
        <f t="shared" si="8"/>
        <v>0</v>
      </c>
    </row>
    <row r="185" spans="1:15" x14ac:dyDescent="0.25">
      <c r="A185" s="4"/>
      <c r="B185" s="5"/>
      <c r="C185" s="5"/>
      <c r="D185" s="5"/>
      <c r="E185" s="5"/>
      <c r="F185" s="5"/>
      <c r="G185" s="5"/>
      <c r="H185" s="13">
        <f t="shared" si="7"/>
        <v>0</v>
      </c>
      <c r="I185" s="5"/>
      <c r="J185" s="5"/>
      <c r="K185" s="5"/>
      <c r="L185" s="10"/>
      <c r="M185" s="8"/>
      <c r="N185" s="12"/>
      <c r="O185" s="14">
        <f t="shared" si="8"/>
        <v>0</v>
      </c>
    </row>
    <row r="186" spans="1:15" x14ac:dyDescent="0.25">
      <c r="A186" s="4"/>
      <c r="B186" s="5"/>
      <c r="C186" s="5"/>
      <c r="D186" s="5"/>
      <c r="E186" s="5"/>
      <c r="F186" s="5"/>
      <c r="G186" s="5"/>
      <c r="H186" s="13">
        <f t="shared" si="7"/>
        <v>0</v>
      </c>
      <c r="I186" s="5"/>
      <c r="J186" s="5"/>
      <c r="K186" s="5"/>
      <c r="L186" s="10"/>
      <c r="M186" s="8"/>
      <c r="N186" s="12"/>
      <c r="O186" s="14">
        <f t="shared" si="8"/>
        <v>0</v>
      </c>
    </row>
    <row r="187" spans="1:15" x14ac:dyDescent="0.25">
      <c r="A187" s="4"/>
      <c r="B187" s="5"/>
      <c r="C187" s="5"/>
      <c r="D187" s="5"/>
      <c r="E187" s="5"/>
      <c r="F187" s="5"/>
      <c r="G187" s="5"/>
      <c r="H187" s="13">
        <f t="shared" si="7"/>
        <v>0</v>
      </c>
      <c r="I187" s="5"/>
      <c r="J187" s="5"/>
      <c r="K187" s="5"/>
      <c r="L187" s="10"/>
      <c r="M187" s="8"/>
      <c r="N187" s="12"/>
      <c r="O187" s="14">
        <f t="shared" si="8"/>
        <v>0</v>
      </c>
    </row>
    <row r="188" spans="1:15" x14ac:dyDescent="0.25">
      <c r="A188" s="4"/>
      <c r="B188" s="5"/>
      <c r="C188" s="5"/>
      <c r="D188" s="5"/>
      <c r="E188" s="5"/>
      <c r="F188" s="5"/>
      <c r="G188" s="5"/>
      <c r="H188" s="13">
        <f t="shared" si="7"/>
        <v>0</v>
      </c>
      <c r="I188" s="5"/>
      <c r="J188" s="5"/>
      <c r="K188" s="5"/>
      <c r="L188" s="10"/>
      <c r="M188" s="8"/>
      <c r="N188" s="12"/>
      <c r="O188" s="14">
        <f t="shared" si="8"/>
        <v>0</v>
      </c>
    </row>
    <row r="189" spans="1:15" x14ac:dyDescent="0.25">
      <c r="A189" s="4"/>
      <c r="B189" s="5"/>
      <c r="C189" s="5"/>
      <c r="D189" s="5"/>
      <c r="E189" s="5"/>
      <c r="F189" s="5"/>
      <c r="G189" s="5"/>
      <c r="H189" s="13">
        <f t="shared" si="7"/>
        <v>0</v>
      </c>
      <c r="I189" s="5"/>
      <c r="J189" s="5"/>
      <c r="K189" s="5"/>
      <c r="L189" s="10"/>
      <c r="M189" s="8"/>
      <c r="N189" s="12"/>
      <c r="O189" s="14">
        <f t="shared" si="8"/>
        <v>0</v>
      </c>
    </row>
    <row r="190" spans="1:15" x14ac:dyDescent="0.25">
      <c r="A190" s="4"/>
      <c r="B190" s="5"/>
      <c r="C190" s="5"/>
      <c r="D190" s="5"/>
      <c r="E190" s="5"/>
      <c r="F190" s="5"/>
      <c r="G190" s="5"/>
      <c r="H190" s="13">
        <f t="shared" si="7"/>
        <v>0</v>
      </c>
      <c r="I190" s="5"/>
      <c r="J190" s="5"/>
      <c r="K190" s="5"/>
      <c r="L190" s="10"/>
      <c r="M190" s="8"/>
      <c r="N190" s="12"/>
      <c r="O190" s="14">
        <f t="shared" si="8"/>
        <v>0</v>
      </c>
    </row>
    <row r="191" spans="1:15" x14ac:dyDescent="0.25">
      <c r="A191" s="4"/>
      <c r="B191" s="5"/>
      <c r="C191" s="5"/>
      <c r="D191" s="5"/>
      <c r="E191" s="5"/>
      <c r="F191" s="5"/>
      <c r="G191" s="5"/>
      <c r="H191" s="13">
        <f t="shared" si="7"/>
        <v>0</v>
      </c>
      <c r="I191" s="5"/>
      <c r="J191" s="5"/>
      <c r="K191" s="5"/>
      <c r="L191" s="10"/>
      <c r="M191" s="8"/>
      <c r="N191" s="12"/>
      <c r="O191" s="14">
        <f t="shared" si="8"/>
        <v>0</v>
      </c>
    </row>
    <row r="192" spans="1:15" x14ac:dyDescent="0.25">
      <c r="A192" s="4"/>
      <c r="B192" s="5"/>
      <c r="C192" s="5"/>
      <c r="D192" s="5"/>
      <c r="E192" s="5"/>
      <c r="F192" s="5"/>
      <c r="G192" s="5"/>
      <c r="H192" s="13">
        <f t="shared" si="7"/>
        <v>0</v>
      </c>
      <c r="I192" s="5"/>
      <c r="J192" s="5"/>
      <c r="K192" s="5"/>
      <c r="L192" s="10"/>
      <c r="M192" s="8"/>
      <c r="N192" s="12"/>
      <c r="O192" s="14">
        <f t="shared" si="8"/>
        <v>0</v>
      </c>
    </row>
    <row r="193" spans="1:15" x14ac:dyDescent="0.25">
      <c r="A193" s="4"/>
      <c r="B193" s="5"/>
      <c r="C193" s="5"/>
      <c r="D193" s="5"/>
      <c r="E193" s="5"/>
      <c r="F193" s="5"/>
      <c r="G193" s="5"/>
      <c r="H193" s="13">
        <f t="shared" si="7"/>
        <v>0</v>
      </c>
      <c r="I193" s="5"/>
      <c r="J193" s="5"/>
      <c r="K193" s="5"/>
      <c r="L193" s="10"/>
      <c r="M193" s="8"/>
      <c r="N193" s="12"/>
      <c r="O193" s="14">
        <f t="shared" si="8"/>
        <v>0</v>
      </c>
    </row>
    <row r="194" spans="1:15" x14ac:dyDescent="0.25">
      <c r="A194" s="4"/>
      <c r="B194" s="5"/>
      <c r="C194" s="5"/>
      <c r="D194" s="5"/>
      <c r="E194" s="5"/>
      <c r="F194" s="5"/>
      <c r="G194" s="5"/>
      <c r="H194" s="13">
        <f t="shared" si="7"/>
        <v>0</v>
      </c>
      <c r="I194" s="5"/>
      <c r="J194" s="5"/>
      <c r="K194" s="5"/>
      <c r="L194" s="10"/>
      <c r="M194" s="8"/>
      <c r="N194" s="12"/>
      <c r="O194" s="14">
        <f t="shared" si="8"/>
        <v>0</v>
      </c>
    </row>
    <row r="195" spans="1:15" x14ac:dyDescent="0.25">
      <c r="A195" s="4"/>
      <c r="B195" s="5"/>
      <c r="C195" s="5"/>
      <c r="D195" s="5"/>
      <c r="E195" s="5"/>
      <c r="F195" s="5"/>
      <c r="G195" s="5"/>
      <c r="H195" s="13">
        <f t="shared" si="7"/>
        <v>0</v>
      </c>
      <c r="I195" s="5"/>
      <c r="J195" s="5"/>
      <c r="K195" s="5"/>
      <c r="L195" s="10"/>
      <c r="M195" s="8"/>
      <c r="N195" s="12"/>
      <c r="O195" s="14">
        <f t="shared" si="8"/>
        <v>0</v>
      </c>
    </row>
    <row r="196" spans="1:15" x14ac:dyDescent="0.25">
      <c r="A196" s="4"/>
      <c r="B196" s="5"/>
      <c r="C196" s="5"/>
      <c r="D196" s="5"/>
      <c r="E196" s="5"/>
      <c r="F196" s="5"/>
      <c r="G196" s="5"/>
      <c r="H196" s="13">
        <f t="shared" si="7"/>
        <v>0</v>
      </c>
      <c r="I196" s="5"/>
      <c r="J196" s="5"/>
      <c r="K196" s="5"/>
      <c r="L196" s="10"/>
      <c r="M196" s="8"/>
      <c r="N196" s="12"/>
      <c r="O196" s="14">
        <f t="shared" si="8"/>
        <v>0</v>
      </c>
    </row>
    <row r="197" spans="1:15" x14ac:dyDescent="0.25">
      <c r="A197" s="4"/>
      <c r="B197" s="5"/>
      <c r="C197" s="5"/>
      <c r="D197" s="5"/>
      <c r="E197" s="5"/>
      <c r="F197" s="5"/>
      <c r="G197" s="5"/>
      <c r="H197" s="13">
        <f t="shared" si="7"/>
        <v>0</v>
      </c>
      <c r="I197" s="5"/>
      <c r="J197" s="5"/>
      <c r="K197" s="5"/>
      <c r="L197" s="10"/>
      <c r="M197" s="8"/>
      <c r="N197" s="12"/>
      <c r="O197" s="14">
        <f t="shared" si="8"/>
        <v>0</v>
      </c>
    </row>
    <row r="198" spans="1:15" x14ac:dyDescent="0.25">
      <c r="A198" s="6"/>
      <c r="B198" s="7"/>
      <c r="C198" s="7"/>
      <c r="D198" s="7"/>
      <c r="E198" s="7"/>
      <c r="F198" s="7"/>
      <c r="G198" s="7"/>
      <c r="H198" s="13">
        <f t="shared" si="7"/>
        <v>0</v>
      </c>
      <c r="I198" s="7"/>
      <c r="J198" s="7"/>
      <c r="K198" s="7"/>
      <c r="L198" s="11"/>
      <c r="M198" s="9"/>
      <c r="N198" s="12"/>
      <c r="O198" s="14">
        <f t="shared" si="8"/>
        <v>0</v>
      </c>
    </row>
    <row r="199" spans="1:15" x14ac:dyDescent="0.25">
      <c r="A199" s="4"/>
      <c r="B199" s="5"/>
      <c r="C199" s="5"/>
      <c r="D199" s="5"/>
      <c r="E199" s="5"/>
      <c r="F199" s="5"/>
      <c r="G199" s="5"/>
      <c r="H199" s="13">
        <f t="shared" ref="H199:H262" si="9">IF(G199="SI",1,0)</f>
        <v>0</v>
      </c>
      <c r="I199" s="5"/>
      <c r="J199" s="5"/>
      <c r="K199" s="5"/>
      <c r="L199" s="10"/>
      <c r="M199" s="8"/>
      <c r="N199" s="12"/>
      <c r="O199" s="14">
        <f t="shared" ref="O199:O262" si="10">M199*N199</f>
        <v>0</v>
      </c>
    </row>
    <row r="200" spans="1:15" x14ac:dyDescent="0.25">
      <c r="A200" s="4"/>
      <c r="B200" s="5"/>
      <c r="C200" s="5"/>
      <c r="D200" s="5"/>
      <c r="E200" s="5"/>
      <c r="F200" s="5"/>
      <c r="G200" s="5"/>
      <c r="H200" s="13">
        <f t="shared" si="9"/>
        <v>0</v>
      </c>
      <c r="I200" s="5"/>
      <c r="J200" s="5"/>
      <c r="K200" s="5"/>
      <c r="L200" s="10"/>
      <c r="M200" s="8"/>
      <c r="N200" s="12"/>
      <c r="O200" s="14">
        <f t="shared" si="10"/>
        <v>0</v>
      </c>
    </row>
    <row r="201" spans="1:15" x14ac:dyDescent="0.25">
      <c r="A201" s="4"/>
      <c r="B201" s="5"/>
      <c r="C201" s="5"/>
      <c r="D201" s="5"/>
      <c r="E201" s="5"/>
      <c r="F201" s="5"/>
      <c r="G201" s="5"/>
      <c r="H201" s="13">
        <f t="shared" si="9"/>
        <v>0</v>
      </c>
      <c r="I201" s="5"/>
      <c r="J201" s="5"/>
      <c r="K201" s="5"/>
      <c r="L201" s="10"/>
      <c r="M201" s="8"/>
      <c r="N201" s="12"/>
      <c r="O201" s="14">
        <f t="shared" si="10"/>
        <v>0</v>
      </c>
    </row>
    <row r="202" spans="1:15" x14ac:dyDescent="0.25">
      <c r="A202" s="4"/>
      <c r="B202" s="5"/>
      <c r="C202" s="5"/>
      <c r="D202" s="5"/>
      <c r="E202" s="5"/>
      <c r="F202" s="5"/>
      <c r="G202" s="5"/>
      <c r="H202" s="13">
        <f t="shared" si="9"/>
        <v>0</v>
      </c>
      <c r="I202" s="5"/>
      <c r="J202" s="5"/>
      <c r="K202" s="5"/>
      <c r="L202" s="10"/>
      <c r="M202" s="8"/>
      <c r="N202" s="12"/>
      <c r="O202" s="14">
        <f t="shared" si="10"/>
        <v>0</v>
      </c>
    </row>
    <row r="203" spans="1:15" x14ac:dyDescent="0.25">
      <c r="A203" s="4"/>
      <c r="B203" s="5"/>
      <c r="C203" s="5"/>
      <c r="D203" s="5"/>
      <c r="E203" s="5"/>
      <c r="F203" s="5"/>
      <c r="G203" s="5"/>
      <c r="H203" s="13">
        <f t="shared" si="9"/>
        <v>0</v>
      </c>
      <c r="I203" s="5"/>
      <c r="J203" s="5"/>
      <c r="K203" s="5"/>
      <c r="L203" s="10"/>
      <c r="M203" s="8"/>
      <c r="N203" s="12"/>
      <c r="O203" s="14">
        <f t="shared" si="10"/>
        <v>0</v>
      </c>
    </row>
    <row r="204" spans="1:15" x14ac:dyDescent="0.25">
      <c r="A204" s="4"/>
      <c r="B204" s="5"/>
      <c r="C204" s="5"/>
      <c r="D204" s="5"/>
      <c r="E204" s="5"/>
      <c r="F204" s="5"/>
      <c r="G204" s="5"/>
      <c r="H204" s="13">
        <f t="shared" si="9"/>
        <v>0</v>
      </c>
      <c r="I204" s="5"/>
      <c r="J204" s="5"/>
      <c r="K204" s="5"/>
      <c r="L204" s="10"/>
      <c r="M204" s="8"/>
      <c r="N204" s="12"/>
      <c r="O204" s="14">
        <f t="shared" si="10"/>
        <v>0</v>
      </c>
    </row>
    <row r="205" spans="1:15" x14ac:dyDescent="0.25">
      <c r="A205" s="4"/>
      <c r="B205" s="5"/>
      <c r="C205" s="5"/>
      <c r="D205" s="5"/>
      <c r="E205" s="5"/>
      <c r="F205" s="5"/>
      <c r="G205" s="5"/>
      <c r="H205" s="13">
        <f t="shared" si="9"/>
        <v>0</v>
      </c>
      <c r="I205" s="5"/>
      <c r="J205" s="5"/>
      <c r="K205" s="5"/>
      <c r="L205" s="10"/>
      <c r="M205" s="8"/>
      <c r="N205" s="12"/>
      <c r="O205" s="14">
        <f t="shared" si="10"/>
        <v>0</v>
      </c>
    </row>
    <row r="206" spans="1:15" x14ac:dyDescent="0.25">
      <c r="A206" s="4"/>
      <c r="B206" s="5"/>
      <c r="C206" s="5"/>
      <c r="D206" s="5"/>
      <c r="E206" s="5"/>
      <c r="F206" s="5"/>
      <c r="G206" s="5"/>
      <c r="H206" s="13">
        <f t="shared" si="9"/>
        <v>0</v>
      </c>
      <c r="I206" s="5"/>
      <c r="J206" s="5"/>
      <c r="K206" s="5"/>
      <c r="L206" s="10"/>
      <c r="M206" s="8"/>
      <c r="N206" s="12"/>
      <c r="O206" s="14">
        <f t="shared" si="10"/>
        <v>0</v>
      </c>
    </row>
    <row r="207" spans="1:15" x14ac:dyDescent="0.25">
      <c r="A207" s="4"/>
      <c r="B207" s="5"/>
      <c r="C207" s="5"/>
      <c r="D207" s="5"/>
      <c r="E207" s="5"/>
      <c r="F207" s="5"/>
      <c r="G207" s="5"/>
      <c r="H207" s="13">
        <f t="shared" si="9"/>
        <v>0</v>
      </c>
      <c r="I207" s="5"/>
      <c r="J207" s="5"/>
      <c r="K207" s="5"/>
      <c r="L207" s="10"/>
      <c r="M207" s="8"/>
      <c r="N207" s="12"/>
      <c r="O207" s="14">
        <f t="shared" si="10"/>
        <v>0</v>
      </c>
    </row>
    <row r="208" spans="1:15" x14ac:dyDescent="0.25">
      <c r="A208" s="4"/>
      <c r="B208" s="5"/>
      <c r="C208" s="5"/>
      <c r="D208" s="5"/>
      <c r="E208" s="5"/>
      <c r="F208" s="5"/>
      <c r="G208" s="5"/>
      <c r="H208" s="13">
        <f t="shared" si="9"/>
        <v>0</v>
      </c>
      <c r="I208" s="5"/>
      <c r="J208" s="5"/>
      <c r="K208" s="5"/>
      <c r="L208" s="10"/>
      <c r="M208" s="8"/>
      <c r="N208" s="12"/>
      <c r="O208" s="14">
        <f t="shared" si="10"/>
        <v>0</v>
      </c>
    </row>
    <row r="209" spans="1:15" x14ac:dyDescent="0.25">
      <c r="A209" s="4"/>
      <c r="B209" s="5"/>
      <c r="C209" s="5"/>
      <c r="D209" s="5"/>
      <c r="E209" s="5"/>
      <c r="F209" s="5"/>
      <c r="G209" s="5"/>
      <c r="H209" s="13">
        <f t="shared" si="9"/>
        <v>0</v>
      </c>
      <c r="I209" s="5"/>
      <c r="J209" s="5"/>
      <c r="K209" s="5"/>
      <c r="L209" s="10"/>
      <c r="M209" s="8"/>
      <c r="N209" s="12"/>
      <c r="O209" s="14">
        <f t="shared" si="10"/>
        <v>0</v>
      </c>
    </row>
    <row r="210" spans="1:15" x14ac:dyDescent="0.25">
      <c r="A210" s="4"/>
      <c r="B210" s="5"/>
      <c r="C210" s="5"/>
      <c r="D210" s="5"/>
      <c r="E210" s="5"/>
      <c r="F210" s="5"/>
      <c r="G210" s="5"/>
      <c r="H210" s="13">
        <f t="shared" si="9"/>
        <v>0</v>
      </c>
      <c r="I210" s="5"/>
      <c r="J210" s="5"/>
      <c r="K210" s="5"/>
      <c r="L210" s="10"/>
      <c r="M210" s="8"/>
      <c r="N210" s="12"/>
      <c r="O210" s="14">
        <f t="shared" si="10"/>
        <v>0</v>
      </c>
    </row>
    <row r="211" spans="1:15" x14ac:dyDescent="0.25">
      <c r="A211" s="4"/>
      <c r="B211" s="5"/>
      <c r="C211" s="5"/>
      <c r="D211" s="5"/>
      <c r="E211" s="5"/>
      <c r="F211" s="5"/>
      <c r="G211" s="5"/>
      <c r="H211" s="13">
        <f t="shared" si="9"/>
        <v>0</v>
      </c>
      <c r="I211" s="5"/>
      <c r="J211" s="5"/>
      <c r="K211" s="5"/>
      <c r="L211" s="10"/>
      <c r="M211" s="8"/>
      <c r="N211" s="12"/>
      <c r="O211" s="14">
        <f t="shared" si="10"/>
        <v>0</v>
      </c>
    </row>
    <row r="212" spans="1:15" x14ac:dyDescent="0.25">
      <c r="A212" s="4"/>
      <c r="B212" s="5"/>
      <c r="C212" s="5"/>
      <c r="D212" s="5"/>
      <c r="E212" s="5"/>
      <c r="F212" s="5"/>
      <c r="G212" s="5"/>
      <c r="H212" s="13">
        <f t="shared" si="9"/>
        <v>0</v>
      </c>
      <c r="I212" s="5"/>
      <c r="J212" s="5"/>
      <c r="K212" s="5"/>
      <c r="L212" s="10"/>
      <c r="M212" s="8"/>
      <c r="N212" s="12"/>
      <c r="O212" s="14">
        <f t="shared" si="10"/>
        <v>0</v>
      </c>
    </row>
    <row r="213" spans="1:15" x14ac:dyDescent="0.25">
      <c r="A213" s="4"/>
      <c r="B213" s="5"/>
      <c r="C213" s="5"/>
      <c r="D213" s="5"/>
      <c r="E213" s="5"/>
      <c r="F213" s="5"/>
      <c r="G213" s="5"/>
      <c r="H213" s="13">
        <f t="shared" si="9"/>
        <v>0</v>
      </c>
      <c r="I213" s="5"/>
      <c r="J213" s="5"/>
      <c r="K213" s="5"/>
      <c r="L213" s="10"/>
      <c r="M213" s="8"/>
      <c r="N213" s="12"/>
      <c r="O213" s="14">
        <f t="shared" si="10"/>
        <v>0</v>
      </c>
    </row>
    <row r="214" spans="1:15" x14ac:dyDescent="0.25">
      <c r="A214" s="4"/>
      <c r="B214" s="5"/>
      <c r="C214" s="5"/>
      <c r="D214" s="5"/>
      <c r="E214" s="5"/>
      <c r="F214" s="5"/>
      <c r="G214" s="5"/>
      <c r="H214" s="13">
        <f t="shared" si="9"/>
        <v>0</v>
      </c>
      <c r="I214" s="5"/>
      <c r="J214" s="5"/>
      <c r="K214" s="5"/>
      <c r="L214" s="10"/>
      <c r="M214" s="8"/>
      <c r="N214" s="12"/>
      <c r="O214" s="14">
        <f t="shared" si="10"/>
        <v>0</v>
      </c>
    </row>
    <row r="215" spans="1:15" x14ac:dyDescent="0.25">
      <c r="A215" s="4"/>
      <c r="B215" s="5"/>
      <c r="C215" s="5"/>
      <c r="D215" s="5"/>
      <c r="E215" s="5"/>
      <c r="F215" s="5"/>
      <c r="G215" s="5"/>
      <c r="H215" s="13">
        <f t="shared" si="9"/>
        <v>0</v>
      </c>
      <c r="I215" s="5"/>
      <c r="J215" s="5"/>
      <c r="K215" s="5"/>
      <c r="L215" s="10"/>
      <c r="M215" s="8"/>
      <c r="N215" s="12"/>
      <c r="O215" s="14">
        <f t="shared" si="10"/>
        <v>0</v>
      </c>
    </row>
    <row r="216" spans="1:15" x14ac:dyDescent="0.25">
      <c r="A216" s="4"/>
      <c r="B216" s="5"/>
      <c r="C216" s="5"/>
      <c r="D216" s="5"/>
      <c r="E216" s="5"/>
      <c r="F216" s="5"/>
      <c r="G216" s="5"/>
      <c r="H216" s="13">
        <f t="shared" si="9"/>
        <v>0</v>
      </c>
      <c r="I216" s="5"/>
      <c r="J216" s="5"/>
      <c r="K216" s="5"/>
      <c r="L216" s="10"/>
      <c r="M216" s="8"/>
      <c r="N216" s="12"/>
      <c r="O216" s="14">
        <f t="shared" si="10"/>
        <v>0</v>
      </c>
    </row>
    <row r="217" spans="1:15" x14ac:dyDescent="0.25">
      <c r="A217" s="4"/>
      <c r="B217" s="5"/>
      <c r="C217" s="5"/>
      <c r="D217" s="5"/>
      <c r="E217" s="5"/>
      <c r="F217" s="5"/>
      <c r="G217" s="5"/>
      <c r="H217" s="13">
        <f t="shared" si="9"/>
        <v>0</v>
      </c>
      <c r="I217" s="5"/>
      <c r="J217" s="5"/>
      <c r="K217" s="5"/>
      <c r="L217" s="10"/>
      <c r="M217" s="8"/>
      <c r="N217" s="12"/>
      <c r="O217" s="14">
        <f t="shared" si="10"/>
        <v>0</v>
      </c>
    </row>
    <row r="218" spans="1:15" x14ac:dyDescent="0.25">
      <c r="A218" s="4"/>
      <c r="B218" s="5"/>
      <c r="C218" s="5"/>
      <c r="D218" s="5"/>
      <c r="E218" s="5"/>
      <c r="F218" s="5"/>
      <c r="G218" s="5"/>
      <c r="H218" s="13">
        <f t="shared" si="9"/>
        <v>0</v>
      </c>
      <c r="I218" s="5"/>
      <c r="J218" s="5"/>
      <c r="K218" s="5"/>
      <c r="L218" s="10"/>
      <c r="M218" s="8"/>
      <c r="N218" s="12"/>
      <c r="O218" s="14">
        <f t="shared" si="10"/>
        <v>0</v>
      </c>
    </row>
    <row r="219" spans="1:15" x14ac:dyDescent="0.25">
      <c r="A219" s="4"/>
      <c r="B219" s="5"/>
      <c r="C219" s="5"/>
      <c r="D219" s="5"/>
      <c r="E219" s="5"/>
      <c r="F219" s="5"/>
      <c r="G219" s="5"/>
      <c r="H219" s="13">
        <f t="shared" si="9"/>
        <v>0</v>
      </c>
      <c r="I219" s="5"/>
      <c r="J219" s="5"/>
      <c r="K219" s="5"/>
      <c r="L219" s="10"/>
      <c r="M219" s="8"/>
      <c r="N219" s="12"/>
      <c r="O219" s="14">
        <f t="shared" si="10"/>
        <v>0</v>
      </c>
    </row>
    <row r="220" spans="1:15" x14ac:dyDescent="0.25">
      <c r="A220" s="4"/>
      <c r="B220" s="5"/>
      <c r="C220" s="5"/>
      <c r="D220" s="5"/>
      <c r="E220" s="5"/>
      <c r="F220" s="5"/>
      <c r="G220" s="5"/>
      <c r="H220" s="13">
        <f t="shared" si="9"/>
        <v>0</v>
      </c>
      <c r="I220" s="5"/>
      <c r="J220" s="5"/>
      <c r="K220" s="5"/>
      <c r="L220" s="10"/>
      <c r="M220" s="8"/>
      <c r="N220" s="12"/>
      <c r="O220" s="14">
        <f t="shared" si="10"/>
        <v>0</v>
      </c>
    </row>
    <row r="221" spans="1:15" x14ac:dyDescent="0.25">
      <c r="A221" s="4"/>
      <c r="B221" s="5"/>
      <c r="C221" s="5"/>
      <c r="D221" s="5"/>
      <c r="E221" s="5"/>
      <c r="F221" s="5"/>
      <c r="G221" s="5"/>
      <c r="H221" s="13">
        <f t="shared" si="9"/>
        <v>0</v>
      </c>
      <c r="I221" s="5"/>
      <c r="J221" s="5"/>
      <c r="K221" s="5"/>
      <c r="L221" s="10"/>
      <c r="M221" s="8"/>
      <c r="N221" s="12"/>
      <c r="O221" s="14">
        <f t="shared" si="10"/>
        <v>0</v>
      </c>
    </row>
    <row r="222" spans="1:15" x14ac:dyDescent="0.25">
      <c r="A222" s="4"/>
      <c r="B222" s="5"/>
      <c r="C222" s="5"/>
      <c r="D222" s="5"/>
      <c r="E222" s="5"/>
      <c r="F222" s="5"/>
      <c r="G222" s="5"/>
      <c r="H222" s="13">
        <f t="shared" si="9"/>
        <v>0</v>
      </c>
      <c r="I222" s="5"/>
      <c r="J222" s="5"/>
      <c r="K222" s="5"/>
      <c r="L222" s="10"/>
      <c r="M222" s="8"/>
      <c r="N222" s="12"/>
      <c r="O222" s="14">
        <f t="shared" si="10"/>
        <v>0</v>
      </c>
    </row>
    <row r="223" spans="1:15" x14ac:dyDescent="0.25">
      <c r="A223" s="4"/>
      <c r="B223" s="5"/>
      <c r="C223" s="5"/>
      <c r="D223" s="5"/>
      <c r="E223" s="5"/>
      <c r="F223" s="5"/>
      <c r="G223" s="5"/>
      <c r="H223" s="13">
        <f t="shared" si="9"/>
        <v>0</v>
      </c>
      <c r="I223" s="5"/>
      <c r="J223" s="5"/>
      <c r="K223" s="5"/>
      <c r="L223" s="10"/>
      <c r="M223" s="8"/>
      <c r="N223" s="12"/>
      <c r="O223" s="14">
        <f t="shared" si="10"/>
        <v>0</v>
      </c>
    </row>
    <row r="224" spans="1:15" x14ac:dyDescent="0.25">
      <c r="A224" s="4"/>
      <c r="B224" s="5"/>
      <c r="C224" s="5"/>
      <c r="D224" s="5"/>
      <c r="E224" s="5"/>
      <c r="F224" s="5"/>
      <c r="G224" s="5"/>
      <c r="H224" s="13">
        <f t="shared" si="9"/>
        <v>0</v>
      </c>
      <c r="I224" s="5"/>
      <c r="J224" s="5"/>
      <c r="K224" s="5"/>
      <c r="L224" s="10"/>
      <c r="M224" s="8"/>
      <c r="N224" s="12"/>
      <c r="O224" s="14">
        <f t="shared" si="10"/>
        <v>0</v>
      </c>
    </row>
    <row r="225" spans="1:15" x14ac:dyDescent="0.25">
      <c r="A225" s="4"/>
      <c r="B225" s="5"/>
      <c r="C225" s="5"/>
      <c r="D225" s="5"/>
      <c r="E225" s="5"/>
      <c r="F225" s="5"/>
      <c r="G225" s="5"/>
      <c r="H225" s="13">
        <f t="shared" si="9"/>
        <v>0</v>
      </c>
      <c r="I225" s="5"/>
      <c r="J225" s="5"/>
      <c r="K225" s="5"/>
      <c r="L225" s="10"/>
      <c r="M225" s="8"/>
      <c r="N225" s="12"/>
      <c r="O225" s="14">
        <f t="shared" si="10"/>
        <v>0</v>
      </c>
    </row>
    <row r="226" spans="1:15" x14ac:dyDescent="0.25">
      <c r="A226" s="4"/>
      <c r="B226" s="5"/>
      <c r="C226" s="5"/>
      <c r="D226" s="5"/>
      <c r="E226" s="5"/>
      <c r="F226" s="5"/>
      <c r="G226" s="5"/>
      <c r="H226" s="13">
        <f t="shared" si="9"/>
        <v>0</v>
      </c>
      <c r="I226" s="5"/>
      <c r="J226" s="5"/>
      <c r="K226" s="5"/>
      <c r="L226" s="10"/>
      <c r="M226" s="8"/>
      <c r="N226" s="12"/>
      <c r="O226" s="14">
        <f t="shared" si="10"/>
        <v>0</v>
      </c>
    </row>
    <row r="227" spans="1:15" x14ac:dyDescent="0.25">
      <c r="A227" s="4"/>
      <c r="B227" s="5"/>
      <c r="C227" s="5"/>
      <c r="D227" s="5"/>
      <c r="E227" s="5"/>
      <c r="F227" s="5"/>
      <c r="G227" s="5"/>
      <c r="H227" s="13">
        <f t="shared" si="9"/>
        <v>0</v>
      </c>
      <c r="I227" s="5"/>
      <c r="J227" s="5"/>
      <c r="K227" s="5"/>
      <c r="L227" s="10"/>
      <c r="M227" s="8"/>
      <c r="N227" s="12"/>
      <c r="O227" s="14">
        <f t="shared" si="10"/>
        <v>0</v>
      </c>
    </row>
    <row r="228" spans="1:15" x14ac:dyDescent="0.25">
      <c r="A228" s="4"/>
      <c r="B228" s="5"/>
      <c r="C228" s="5"/>
      <c r="D228" s="5"/>
      <c r="E228" s="5"/>
      <c r="F228" s="5"/>
      <c r="G228" s="5"/>
      <c r="H228" s="13">
        <f t="shared" si="9"/>
        <v>0</v>
      </c>
      <c r="I228" s="5"/>
      <c r="J228" s="5"/>
      <c r="K228" s="5"/>
      <c r="L228" s="10"/>
      <c r="M228" s="8"/>
      <c r="N228" s="12"/>
      <c r="O228" s="14">
        <f t="shared" si="10"/>
        <v>0</v>
      </c>
    </row>
    <row r="229" spans="1:15" x14ac:dyDescent="0.25">
      <c r="A229" s="4"/>
      <c r="B229" s="5"/>
      <c r="C229" s="5"/>
      <c r="D229" s="5"/>
      <c r="E229" s="5"/>
      <c r="F229" s="5"/>
      <c r="G229" s="5"/>
      <c r="H229" s="13">
        <f t="shared" si="9"/>
        <v>0</v>
      </c>
      <c r="I229" s="5"/>
      <c r="J229" s="5"/>
      <c r="K229" s="5"/>
      <c r="L229" s="10"/>
      <c r="M229" s="8"/>
      <c r="N229" s="12"/>
      <c r="O229" s="14">
        <f t="shared" si="10"/>
        <v>0</v>
      </c>
    </row>
    <row r="230" spans="1:15" x14ac:dyDescent="0.25">
      <c r="A230" s="4"/>
      <c r="B230" s="5"/>
      <c r="C230" s="5"/>
      <c r="D230" s="5"/>
      <c r="E230" s="5"/>
      <c r="F230" s="5"/>
      <c r="G230" s="5"/>
      <c r="H230" s="13">
        <f t="shared" si="9"/>
        <v>0</v>
      </c>
      <c r="I230" s="5"/>
      <c r="J230" s="5"/>
      <c r="K230" s="5"/>
      <c r="L230" s="10"/>
      <c r="M230" s="8"/>
      <c r="N230" s="12"/>
      <c r="O230" s="14">
        <f t="shared" si="10"/>
        <v>0</v>
      </c>
    </row>
    <row r="231" spans="1:15" x14ac:dyDescent="0.25">
      <c r="A231" s="4"/>
      <c r="B231" s="5"/>
      <c r="C231" s="5"/>
      <c r="D231" s="5"/>
      <c r="E231" s="5"/>
      <c r="F231" s="5"/>
      <c r="G231" s="5"/>
      <c r="H231" s="13">
        <f t="shared" si="9"/>
        <v>0</v>
      </c>
      <c r="I231" s="5"/>
      <c r="J231" s="5"/>
      <c r="K231" s="5"/>
      <c r="L231" s="10"/>
      <c r="M231" s="8"/>
      <c r="N231" s="12"/>
      <c r="O231" s="14">
        <f t="shared" si="10"/>
        <v>0</v>
      </c>
    </row>
    <row r="232" spans="1:15" x14ac:dyDescent="0.25">
      <c r="A232" s="4"/>
      <c r="B232" s="5"/>
      <c r="C232" s="5"/>
      <c r="D232" s="5"/>
      <c r="E232" s="5"/>
      <c r="F232" s="5"/>
      <c r="G232" s="5"/>
      <c r="H232" s="13">
        <f t="shared" si="9"/>
        <v>0</v>
      </c>
      <c r="I232" s="5"/>
      <c r="J232" s="5"/>
      <c r="K232" s="5"/>
      <c r="L232" s="10"/>
      <c r="M232" s="8"/>
      <c r="N232" s="12"/>
      <c r="O232" s="14">
        <f t="shared" si="10"/>
        <v>0</v>
      </c>
    </row>
    <row r="233" spans="1:15" x14ac:dyDescent="0.25">
      <c r="A233" s="4"/>
      <c r="B233" s="5"/>
      <c r="C233" s="5"/>
      <c r="D233" s="5"/>
      <c r="E233" s="5"/>
      <c r="F233" s="5"/>
      <c r="G233" s="5"/>
      <c r="H233" s="13">
        <f t="shared" si="9"/>
        <v>0</v>
      </c>
      <c r="I233" s="5"/>
      <c r="J233" s="5"/>
      <c r="K233" s="5"/>
      <c r="L233" s="10"/>
      <c r="M233" s="8"/>
      <c r="N233" s="12"/>
      <c r="O233" s="14">
        <f t="shared" si="10"/>
        <v>0</v>
      </c>
    </row>
    <row r="234" spans="1:15" x14ac:dyDescent="0.25">
      <c r="A234" s="4"/>
      <c r="B234" s="5"/>
      <c r="C234" s="5"/>
      <c r="D234" s="5"/>
      <c r="E234" s="5"/>
      <c r="F234" s="5"/>
      <c r="G234" s="5"/>
      <c r="H234" s="13">
        <f t="shared" si="9"/>
        <v>0</v>
      </c>
      <c r="I234" s="5"/>
      <c r="J234" s="5"/>
      <c r="K234" s="5"/>
      <c r="L234" s="10"/>
      <c r="M234" s="8"/>
      <c r="N234" s="12"/>
      <c r="O234" s="14">
        <f t="shared" si="10"/>
        <v>0</v>
      </c>
    </row>
    <row r="235" spans="1:15" x14ac:dyDescent="0.25">
      <c r="A235" s="4"/>
      <c r="B235" s="5"/>
      <c r="C235" s="5"/>
      <c r="D235" s="5"/>
      <c r="E235" s="5"/>
      <c r="F235" s="5"/>
      <c r="G235" s="5"/>
      <c r="H235" s="13">
        <f t="shared" si="9"/>
        <v>0</v>
      </c>
      <c r="I235" s="5"/>
      <c r="J235" s="5"/>
      <c r="K235" s="5"/>
      <c r="L235" s="10"/>
      <c r="M235" s="8"/>
      <c r="N235" s="12"/>
      <c r="O235" s="14">
        <f t="shared" si="10"/>
        <v>0</v>
      </c>
    </row>
    <row r="236" spans="1:15" x14ac:dyDescent="0.25">
      <c r="A236" s="4"/>
      <c r="B236" s="5"/>
      <c r="C236" s="5"/>
      <c r="D236" s="5"/>
      <c r="E236" s="5"/>
      <c r="F236" s="5"/>
      <c r="G236" s="5"/>
      <c r="H236" s="13">
        <f t="shared" si="9"/>
        <v>0</v>
      </c>
      <c r="I236" s="5"/>
      <c r="J236" s="5"/>
      <c r="K236" s="5"/>
      <c r="L236" s="10"/>
      <c r="M236" s="8"/>
      <c r="N236" s="12"/>
      <c r="O236" s="14">
        <f t="shared" si="10"/>
        <v>0</v>
      </c>
    </row>
    <row r="237" spans="1:15" x14ac:dyDescent="0.25">
      <c r="A237" s="4"/>
      <c r="B237" s="5"/>
      <c r="C237" s="5"/>
      <c r="D237" s="5"/>
      <c r="E237" s="5"/>
      <c r="F237" s="5"/>
      <c r="G237" s="5"/>
      <c r="H237" s="13">
        <f t="shared" si="9"/>
        <v>0</v>
      </c>
      <c r="I237" s="5"/>
      <c r="J237" s="5"/>
      <c r="K237" s="5"/>
      <c r="L237" s="10"/>
      <c r="M237" s="8"/>
      <c r="N237" s="12"/>
      <c r="O237" s="14">
        <f t="shared" si="10"/>
        <v>0</v>
      </c>
    </row>
    <row r="238" spans="1:15" x14ac:dyDescent="0.25">
      <c r="A238" s="4"/>
      <c r="B238" s="5"/>
      <c r="C238" s="5"/>
      <c r="D238" s="5"/>
      <c r="E238" s="5"/>
      <c r="F238" s="5"/>
      <c r="G238" s="5"/>
      <c r="H238" s="13">
        <f t="shared" si="9"/>
        <v>0</v>
      </c>
      <c r="I238" s="5"/>
      <c r="J238" s="5"/>
      <c r="K238" s="5"/>
      <c r="L238" s="10"/>
      <c r="M238" s="8"/>
      <c r="N238" s="12"/>
      <c r="O238" s="14">
        <f t="shared" si="10"/>
        <v>0</v>
      </c>
    </row>
    <row r="239" spans="1:15" x14ac:dyDescent="0.25">
      <c r="A239" s="4"/>
      <c r="B239" s="5"/>
      <c r="C239" s="5"/>
      <c r="D239" s="5"/>
      <c r="E239" s="5"/>
      <c r="F239" s="5"/>
      <c r="G239" s="5"/>
      <c r="H239" s="13">
        <f t="shared" si="9"/>
        <v>0</v>
      </c>
      <c r="I239" s="5"/>
      <c r="J239" s="5"/>
      <c r="K239" s="5"/>
      <c r="L239" s="10"/>
      <c r="M239" s="8"/>
      <c r="N239" s="12"/>
      <c r="O239" s="14">
        <f t="shared" si="10"/>
        <v>0</v>
      </c>
    </row>
    <row r="240" spans="1:15" x14ac:dyDescent="0.25">
      <c r="A240" s="4"/>
      <c r="B240" s="5"/>
      <c r="C240" s="5"/>
      <c r="D240" s="5"/>
      <c r="E240" s="5"/>
      <c r="F240" s="5"/>
      <c r="G240" s="5"/>
      <c r="H240" s="13">
        <f t="shared" si="9"/>
        <v>0</v>
      </c>
      <c r="I240" s="5"/>
      <c r="J240" s="5"/>
      <c r="K240" s="5"/>
      <c r="L240" s="10"/>
      <c r="M240" s="8"/>
      <c r="N240" s="12"/>
      <c r="O240" s="14">
        <f t="shared" si="10"/>
        <v>0</v>
      </c>
    </row>
    <row r="241" spans="1:15" x14ac:dyDescent="0.25">
      <c r="A241" s="4"/>
      <c r="B241" s="5"/>
      <c r="C241" s="5"/>
      <c r="D241" s="5"/>
      <c r="E241" s="5"/>
      <c r="F241" s="5"/>
      <c r="G241" s="5"/>
      <c r="H241" s="13">
        <f t="shared" si="9"/>
        <v>0</v>
      </c>
      <c r="I241" s="5"/>
      <c r="J241" s="5"/>
      <c r="K241" s="5"/>
      <c r="L241" s="10"/>
      <c r="M241" s="8"/>
      <c r="N241" s="12"/>
      <c r="O241" s="14">
        <f t="shared" si="10"/>
        <v>0</v>
      </c>
    </row>
    <row r="242" spans="1:15" x14ac:dyDescent="0.25">
      <c r="A242" s="4"/>
      <c r="B242" s="5"/>
      <c r="C242" s="5"/>
      <c r="D242" s="5"/>
      <c r="E242" s="5"/>
      <c r="F242" s="5"/>
      <c r="G242" s="5"/>
      <c r="H242" s="13">
        <f t="shared" si="9"/>
        <v>0</v>
      </c>
      <c r="I242" s="5"/>
      <c r="J242" s="5"/>
      <c r="K242" s="5"/>
      <c r="L242" s="10"/>
      <c r="M242" s="8"/>
      <c r="N242" s="12"/>
      <c r="O242" s="14">
        <f t="shared" si="10"/>
        <v>0</v>
      </c>
    </row>
    <row r="243" spans="1:15" x14ac:dyDescent="0.25">
      <c r="A243" s="4"/>
      <c r="B243" s="5"/>
      <c r="C243" s="5"/>
      <c r="D243" s="5"/>
      <c r="E243" s="5"/>
      <c r="F243" s="5"/>
      <c r="G243" s="5"/>
      <c r="H243" s="13">
        <f t="shared" si="9"/>
        <v>0</v>
      </c>
      <c r="I243" s="5"/>
      <c r="J243" s="5"/>
      <c r="K243" s="5"/>
      <c r="L243" s="10"/>
      <c r="M243" s="8"/>
      <c r="N243" s="12"/>
      <c r="O243" s="14">
        <f t="shared" si="10"/>
        <v>0</v>
      </c>
    </row>
    <row r="244" spans="1:15" x14ac:dyDescent="0.25">
      <c r="A244" s="4"/>
      <c r="B244" s="5"/>
      <c r="C244" s="5"/>
      <c r="D244" s="5"/>
      <c r="E244" s="5"/>
      <c r="F244" s="5"/>
      <c r="G244" s="5"/>
      <c r="H244" s="13">
        <f t="shared" si="9"/>
        <v>0</v>
      </c>
      <c r="I244" s="5"/>
      <c r="J244" s="5"/>
      <c r="K244" s="5"/>
      <c r="L244" s="10"/>
      <c r="M244" s="8"/>
      <c r="N244" s="12"/>
      <c r="O244" s="14">
        <f t="shared" si="10"/>
        <v>0</v>
      </c>
    </row>
    <row r="245" spans="1:15" x14ac:dyDescent="0.25">
      <c r="A245" s="4"/>
      <c r="B245" s="5"/>
      <c r="C245" s="5"/>
      <c r="D245" s="5"/>
      <c r="E245" s="5"/>
      <c r="F245" s="5"/>
      <c r="G245" s="5"/>
      <c r="H245" s="13">
        <f t="shared" si="9"/>
        <v>0</v>
      </c>
      <c r="I245" s="5"/>
      <c r="J245" s="5"/>
      <c r="K245" s="5"/>
      <c r="L245" s="10"/>
      <c r="M245" s="8"/>
      <c r="N245" s="12"/>
      <c r="O245" s="14">
        <f t="shared" si="10"/>
        <v>0</v>
      </c>
    </row>
    <row r="246" spans="1:15" x14ac:dyDescent="0.25">
      <c r="A246" s="4"/>
      <c r="B246" s="5"/>
      <c r="C246" s="5"/>
      <c r="D246" s="5"/>
      <c r="E246" s="5"/>
      <c r="F246" s="5"/>
      <c r="G246" s="5"/>
      <c r="H246" s="13">
        <f t="shared" si="9"/>
        <v>0</v>
      </c>
      <c r="I246" s="5"/>
      <c r="J246" s="5"/>
      <c r="K246" s="5"/>
      <c r="L246" s="10"/>
      <c r="M246" s="8"/>
      <c r="N246" s="12"/>
      <c r="O246" s="14">
        <f t="shared" si="10"/>
        <v>0</v>
      </c>
    </row>
    <row r="247" spans="1:15" x14ac:dyDescent="0.25">
      <c r="A247" s="4"/>
      <c r="B247" s="5"/>
      <c r="C247" s="5"/>
      <c r="D247" s="5"/>
      <c r="E247" s="5"/>
      <c r="F247" s="5"/>
      <c r="G247" s="5"/>
      <c r="H247" s="13">
        <f t="shared" si="9"/>
        <v>0</v>
      </c>
      <c r="I247" s="5"/>
      <c r="J247" s="5"/>
      <c r="K247" s="5"/>
      <c r="L247" s="10"/>
      <c r="M247" s="8"/>
      <c r="N247" s="12"/>
      <c r="O247" s="14">
        <f t="shared" si="10"/>
        <v>0</v>
      </c>
    </row>
    <row r="248" spans="1:15" x14ac:dyDescent="0.25">
      <c r="A248" s="4"/>
      <c r="B248" s="5"/>
      <c r="C248" s="5"/>
      <c r="D248" s="5"/>
      <c r="E248" s="5"/>
      <c r="F248" s="5"/>
      <c r="G248" s="5"/>
      <c r="H248" s="13">
        <f t="shared" si="9"/>
        <v>0</v>
      </c>
      <c r="I248" s="5"/>
      <c r="J248" s="5"/>
      <c r="K248" s="5"/>
      <c r="L248" s="10"/>
      <c r="M248" s="8"/>
      <c r="N248" s="12"/>
      <c r="O248" s="14">
        <f t="shared" si="10"/>
        <v>0</v>
      </c>
    </row>
    <row r="249" spans="1:15" x14ac:dyDescent="0.25">
      <c r="A249" s="4"/>
      <c r="B249" s="5"/>
      <c r="C249" s="5"/>
      <c r="D249" s="5"/>
      <c r="E249" s="5"/>
      <c r="F249" s="5"/>
      <c r="G249" s="5"/>
      <c r="H249" s="13">
        <f t="shared" si="9"/>
        <v>0</v>
      </c>
      <c r="I249" s="5"/>
      <c r="J249" s="5"/>
      <c r="K249" s="5"/>
      <c r="L249" s="10"/>
      <c r="M249" s="8"/>
      <c r="N249" s="12"/>
      <c r="O249" s="14">
        <f t="shared" si="10"/>
        <v>0</v>
      </c>
    </row>
    <row r="250" spans="1:15" x14ac:dyDescent="0.25">
      <c r="A250" s="4"/>
      <c r="B250" s="5"/>
      <c r="C250" s="5"/>
      <c r="D250" s="5"/>
      <c r="E250" s="5"/>
      <c r="F250" s="5"/>
      <c r="G250" s="5"/>
      <c r="H250" s="13">
        <f t="shared" si="9"/>
        <v>0</v>
      </c>
      <c r="I250" s="5"/>
      <c r="J250" s="5"/>
      <c r="K250" s="5"/>
      <c r="L250" s="10"/>
      <c r="M250" s="8"/>
      <c r="N250" s="12"/>
      <c r="O250" s="14">
        <f t="shared" si="10"/>
        <v>0</v>
      </c>
    </row>
    <row r="251" spans="1:15" x14ac:dyDescent="0.25">
      <c r="A251" s="6"/>
      <c r="B251" s="7"/>
      <c r="C251" s="7"/>
      <c r="D251" s="7"/>
      <c r="E251" s="7"/>
      <c r="F251" s="7"/>
      <c r="G251" s="7"/>
      <c r="H251" s="13">
        <f t="shared" si="9"/>
        <v>0</v>
      </c>
      <c r="I251" s="7"/>
      <c r="J251" s="7"/>
      <c r="K251" s="7"/>
      <c r="L251" s="11"/>
      <c r="M251" s="9"/>
      <c r="N251" s="12"/>
      <c r="O251" s="14">
        <f t="shared" si="10"/>
        <v>0</v>
      </c>
    </row>
    <row r="252" spans="1:15" x14ac:dyDescent="0.25">
      <c r="A252" s="4"/>
      <c r="B252" s="5"/>
      <c r="C252" s="5"/>
      <c r="D252" s="5"/>
      <c r="E252" s="5"/>
      <c r="F252" s="5"/>
      <c r="G252" s="5"/>
      <c r="H252" s="13">
        <f t="shared" si="9"/>
        <v>0</v>
      </c>
      <c r="I252" s="5"/>
      <c r="J252" s="5"/>
      <c r="K252" s="5"/>
      <c r="L252" s="10"/>
      <c r="M252" s="8"/>
      <c r="N252" s="12"/>
      <c r="O252" s="14">
        <f t="shared" si="10"/>
        <v>0</v>
      </c>
    </row>
    <row r="253" spans="1:15" x14ac:dyDescent="0.25">
      <c r="A253" s="4"/>
      <c r="B253" s="5"/>
      <c r="C253" s="5"/>
      <c r="D253" s="5"/>
      <c r="E253" s="5"/>
      <c r="F253" s="5"/>
      <c r="G253" s="5"/>
      <c r="H253" s="13">
        <f t="shared" si="9"/>
        <v>0</v>
      </c>
      <c r="I253" s="5"/>
      <c r="J253" s="5"/>
      <c r="K253" s="5"/>
      <c r="L253" s="10"/>
      <c r="M253" s="8"/>
      <c r="N253" s="12"/>
      <c r="O253" s="14">
        <f t="shared" si="10"/>
        <v>0</v>
      </c>
    </row>
    <row r="254" spans="1:15" x14ac:dyDescent="0.25">
      <c r="A254" s="4"/>
      <c r="B254" s="5"/>
      <c r="C254" s="5"/>
      <c r="D254" s="5"/>
      <c r="E254" s="5"/>
      <c r="F254" s="5"/>
      <c r="G254" s="5"/>
      <c r="H254" s="13">
        <f t="shared" si="9"/>
        <v>0</v>
      </c>
      <c r="I254" s="5"/>
      <c r="J254" s="5"/>
      <c r="K254" s="5"/>
      <c r="L254" s="10"/>
      <c r="M254" s="8"/>
      <c r="N254" s="12"/>
      <c r="O254" s="14">
        <f t="shared" si="10"/>
        <v>0</v>
      </c>
    </row>
    <row r="255" spans="1:15" x14ac:dyDescent="0.25">
      <c r="A255" s="4"/>
      <c r="B255" s="5"/>
      <c r="C255" s="5"/>
      <c r="D255" s="5"/>
      <c r="E255" s="5"/>
      <c r="F255" s="5"/>
      <c r="G255" s="5"/>
      <c r="H255" s="13">
        <f t="shared" si="9"/>
        <v>0</v>
      </c>
      <c r="I255" s="5"/>
      <c r="J255" s="5"/>
      <c r="K255" s="5"/>
      <c r="L255" s="10"/>
      <c r="M255" s="8"/>
      <c r="N255" s="12"/>
      <c r="O255" s="14">
        <f t="shared" si="10"/>
        <v>0</v>
      </c>
    </row>
    <row r="256" spans="1:15" x14ac:dyDescent="0.25">
      <c r="A256" s="4"/>
      <c r="B256" s="5"/>
      <c r="C256" s="5"/>
      <c r="D256" s="5"/>
      <c r="E256" s="5"/>
      <c r="F256" s="5"/>
      <c r="G256" s="5"/>
      <c r="H256" s="13">
        <f t="shared" si="9"/>
        <v>0</v>
      </c>
      <c r="I256" s="5"/>
      <c r="J256" s="5"/>
      <c r="K256" s="5"/>
      <c r="L256" s="10"/>
      <c r="M256" s="8"/>
      <c r="N256" s="12"/>
      <c r="O256" s="14">
        <f t="shared" si="10"/>
        <v>0</v>
      </c>
    </row>
    <row r="257" spans="1:15" x14ac:dyDescent="0.25">
      <c r="A257" s="4"/>
      <c r="B257" s="5"/>
      <c r="C257" s="5"/>
      <c r="D257" s="5"/>
      <c r="E257" s="5"/>
      <c r="F257" s="5"/>
      <c r="G257" s="5"/>
      <c r="H257" s="13">
        <f t="shared" si="9"/>
        <v>0</v>
      </c>
      <c r="I257" s="5"/>
      <c r="J257" s="5"/>
      <c r="K257" s="5"/>
      <c r="L257" s="10"/>
      <c r="M257" s="8"/>
      <c r="N257" s="12"/>
      <c r="O257" s="14">
        <f t="shared" si="10"/>
        <v>0</v>
      </c>
    </row>
    <row r="258" spans="1:15" x14ac:dyDescent="0.25">
      <c r="A258" s="4"/>
      <c r="B258" s="5"/>
      <c r="C258" s="5"/>
      <c r="D258" s="5"/>
      <c r="E258" s="5"/>
      <c r="F258" s="5"/>
      <c r="G258" s="5"/>
      <c r="H258" s="13">
        <f t="shared" si="9"/>
        <v>0</v>
      </c>
      <c r="I258" s="5"/>
      <c r="J258" s="5"/>
      <c r="K258" s="5"/>
      <c r="L258" s="10"/>
      <c r="M258" s="8"/>
      <c r="N258" s="12"/>
      <c r="O258" s="14">
        <f t="shared" si="10"/>
        <v>0</v>
      </c>
    </row>
    <row r="259" spans="1:15" x14ac:dyDescent="0.25">
      <c r="A259" s="4"/>
      <c r="B259" s="5"/>
      <c r="C259" s="5"/>
      <c r="D259" s="5"/>
      <c r="E259" s="5"/>
      <c r="F259" s="5"/>
      <c r="G259" s="5"/>
      <c r="H259" s="13">
        <f t="shared" si="9"/>
        <v>0</v>
      </c>
      <c r="I259" s="5"/>
      <c r="J259" s="5"/>
      <c r="K259" s="5"/>
      <c r="L259" s="10"/>
      <c r="M259" s="8"/>
      <c r="N259" s="12"/>
      <c r="O259" s="14">
        <f t="shared" si="10"/>
        <v>0</v>
      </c>
    </row>
    <row r="260" spans="1:15" x14ac:dyDescent="0.25">
      <c r="A260" s="4"/>
      <c r="B260" s="5"/>
      <c r="C260" s="5"/>
      <c r="D260" s="5"/>
      <c r="E260" s="5"/>
      <c r="F260" s="5"/>
      <c r="G260" s="5"/>
      <c r="H260" s="13">
        <f t="shared" si="9"/>
        <v>0</v>
      </c>
      <c r="I260" s="5"/>
      <c r="J260" s="5"/>
      <c r="K260" s="5"/>
      <c r="L260" s="10"/>
      <c r="M260" s="8"/>
      <c r="N260" s="12"/>
      <c r="O260" s="14">
        <f t="shared" si="10"/>
        <v>0</v>
      </c>
    </row>
    <row r="261" spans="1:15" x14ac:dyDescent="0.25">
      <c r="A261" s="4"/>
      <c r="B261" s="5"/>
      <c r="C261" s="5"/>
      <c r="D261" s="5"/>
      <c r="E261" s="5"/>
      <c r="F261" s="5"/>
      <c r="G261" s="5"/>
      <c r="H261" s="13">
        <f t="shared" si="9"/>
        <v>0</v>
      </c>
      <c r="I261" s="5"/>
      <c r="J261" s="5"/>
      <c r="K261" s="5"/>
      <c r="L261" s="10"/>
      <c r="M261" s="8"/>
      <c r="N261" s="12"/>
      <c r="O261" s="14">
        <f t="shared" si="10"/>
        <v>0</v>
      </c>
    </row>
    <row r="262" spans="1:15" x14ac:dyDescent="0.25">
      <c r="A262" s="4"/>
      <c r="B262" s="5"/>
      <c r="C262" s="5"/>
      <c r="D262" s="5"/>
      <c r="E262" s="5"/>
      <c r="F262" s="5"/>
      <c r="G262" s="5"/>
      <c r="H262" s="13">
        <f t="shared" si="9"/>
        <v>0</v>
      </c>
      <c r="I262" s="5"/>
      <c r="J262" s="5"/>
      <c r="K262" s="5"/>
      <c r="L262" s="10"/>
      <c r="M262" s="8"/>
      <c r="N262" s="12"/>
      <c r="O262" s="14">
        <f t="shared" si="10"/>
        <v>0</v>
      </c>
    </row>
    <row r="263" spans="1:15" x14ac:dyDescent="0.25">
      <c r="A263" s="4"/>
      <c r="B263" s="5"/>
      <c r="C263" s="5"/>
      <c r="D263" s="5"/>
      <c r="E263" s="5"/>
      <c r="F263" s="5"/>
      <c r="G263" s="5"/>
      <c r="H263" s="13">
        <f t="shared" ref="H263:H299" si="11">IF(G263="SI",1,0)</f>
        <v>0</v>
      </c>
      <c r="I263" s="5"/>
      <c r="J263" s="5"/>
      <c r="K263" s="5"/>
      <c r="L263" s="10"/>
      <c r="M263" s="8"/>
      <c r="N263" s="12"/>
      <c r="O263" s="14">
        <f t="shared" ref="O263:O299" si="12">M263*N263</f>
        <v>0</v>
      </c>
    </row>
    <row r="264" spans="1:15" x14ac:dyDescent="0.25">
      <c r="A264" s="4"/>
      <c r="B264" s="5"/>
      <c r="C264" s="5"/>
      <c r="D264" s="5"/>
      <c r="E264" s="5"/>
      <c r="F264" s="5"/>
      <c r="G264" s="5"/>
      <c r="H264" s="13">
        <f t="shared" si="11"/>
        <v>0</v>
      </c>
      <c r="I264" s="5"/>
      <c r="J264" s="5"/>
      <c r="K264" s="5"/>
      <c r="L264" s="10"/>
      <c r="M264" s="8"/>
      <c r="N264" s="12"/>
      <c r="O264" s="14">
        <f t="shared" si="12"/>
        <v>0</v>
      </c>
    </row>
    <row r="265" spans="1:15" x14ac:dyDescent="0.25">
      <c r="A265" s="4"/>
      <c r="B265" s="5"/>
      <c r="C265" s="5"/>
      <c r="D265" s="5"/>
      <c r="E265" s="5"/>
      <c r="F265" s="5"/>
      <c r="G265" s="5"/>
      <c r="H265" s="13">
        <f t="shared" si="11"/>
        <v>0</v>
      </c>
      <c r="I265" s="5"/>
      <c r="J265" s="5"/>
      <c r="K265" s="5"/>
      <c r="L265" s="10"/>
      <c r="M265" s="8"/>
      <c r="N265" s="12"/>
      <c r="O265" s="14">
        <f t="shared" si="12"/>
        <v>0</v>
      </c>
    </row>
    <row r="266" spans="1:15" x14ac:dyDescent="0.25">
      <c r="A266" s="4"/>
      <c r="B266" s="5"/>
      <c r="C266" s="5"/>
      <c r="D266" s="5"/>
      <c r="E266" s="5"/>
      <c r="F266" s="5"/>
      <c r="G266" s="5"/>
      <c r="H266" s="13">
        <f t="shared" si="11"/>
        <v>0</v>
      </c>
      <c r="I266" s="5"/>
      <c r="J266" s="5"/>
      <c r="K266" s="5"/>
      <c r="L266" s="10"/>
      <c r="M266" s="8"/>
      <c r="N266" s="12"/>
      <c r="O266" s="14">
        <f t="shared" si="12"/>
        <v>0</v>
      </c>
    </row>
    <row r="267" spans="1:15" x14ac:dyDescent="0.25">
      <c r="A267" s="4"/>
      <c r="B267" s="5"/>
      <c r="C267" s="5"/>
      <c r="D267" s="5"/>
      <c r="E267" s="5"/>
      <c r="F267" s="5"/>
      <c r="G267" s="5"/>
      <c r="H267" s="13">
        <f t="shared" si="11"/>
        <v>0</v>
      </c>
      <c r="I267" s="5"/>
      <c r="J267" s="5"/>
      <c r="K267" s="5"/>
      <c r="L267" s="10"/>
      <c r="M267" s="8"/>
      <c r="N267" s="12"/>
      <c r="O267" s="14">
        <f t="shared" si="12"/>
        <v>0</v>
      </c>
    </row>
    <row r="268" spans="1:15" x14ac:dyDescent="0.25">
      <c r="A268" s="4"/>
      <c r="B268" s="5"/>
      <c r="C268" s="5"/>
      <c r="D268" s="5"/>
      <c r="E268" s="5"/>
      <c r="F268" s="5"/>
      <c r="G268" s="5"/>
      <c r="H268" s="13">
        <f t="shared" si="11"/>
        <v>0</v>
      </c>
      <c r="I268" s="5"/>
      <c r="J268" s="5"/>
      <c r="K268" s="5"/>
      <c r="L268" s="10"/>
      <c r="M268" s="8"/>
      <c r="N268" s="12"/>
      <c r="O268" s="14">
        <f t="shared" si="12"/>
        <v>0</v>
      </c>
    </row>
    <row r="269" spans="1:15" x14ac:dyDescent="0.25">
      <c r="A269" s="4"/>
      <c r="B269" s="5"/>
      <c r="C269" s="5"/>
      <c r="D269" s="5"/>
      <c r="E269" s="5"/>
      <c r="F269" s="5"/>
      <c r="G269" s="5"/>
      <c r="H269" s="13">
        <f t="shared" si="11"/>
        <v>0</v>
      </c>
      <c r="I269" s="5"/>
      <c r="J269" s="5"/>
      <c r="K269" s="5"/>
      <c r="L269" s="10"/>
      <c r="M269" s="8"/>
      <c r="N269" s="12"/>
      <c r="O269" s="14">
        <f t="shared" si="12"/>
        <v>0</v>
      </c>
    </row>
    <row r="270" spans="1:15" x14ac:dyDescent="0.25">
      <c r="A270" s="4"/>
      <c r="B270" s="5"/>
      <c r="C270" s="5"/>
      <c r="D270" s="5"/>
      <c r="E270" s="5"/>
      <c r="F270" s="5"/>
      <c r="G270" s="5"/>
      <c r="H270" s="13">
        <f t="shared" si="11"/>
        <v>0</v>
      </c>
      <c r="I270" s="5"/>
      <c r="J270" s="5"/>
      <c r="K270" s="5"/>
      <c r="L270" s="10"/>
      <c r="M270" s="8"/>
      <c r="N270" s="12"/>
      <c r="O270" s="14">
        <f t="shared" si="12"/>
        <v>0</v>
      </c>
    </row>
    <row r="271" spans="1:15" x14ac:dyDescent="0.25">
      <c r="A271" s="4"/>
      <c r="B271" s="5"/>
      <c r="C271" s="5"/>
      <c r="D271" s="5"/>
      <c r="E271" s="5"/>
      <c r="F271" s="5"/>
      <c r="G271" s="5"/>
      <c r="H271" s="13">
        <f t="shared" si="11"/>
        <v>0</v>
      </c>
      <c r="I271" s="5"/>
      <c r="J271" s="5"/>
      <c r="K271" s="5"/>
      <c r="L271" s="10"/>
      <c r="M271" s="8"/>
      <c r="N271" s="12"/>
      <c r="O271" s="14">
        <f t="shared" si="12"/>
        <v>0</v>
      </c>
    </row>
    <row r="272" spans="1:15" x14ac:dyDescent="0.25">
      <c r="A272" s="4"/>
      <c r="B272" s="5"/>
      <c r="C272" s="5"/>
      <c r="D272" s="5"/>
      <c r="E272" s="5"/>
      <c r="F272" s="5"/>
      <c r="G272" s="5"/>
      <c r="H272" s="13">
        <f t="shared" si="11"/>
        <v>0</v>
      </c>
      <c r="I272" s="5"/>
      <c r="J272" s="5"/>
      <c r="K272" s="5"/>
      <c r="L272" s="10"/>
      <c r="M272" s="8"/>
      <c r="N272" s="12"/>
      <c r="O272" s="14">
        <f t="shared" si="12"/>
        <v>0</v>
      </c>
    </row>
    <row r="273" spans="1:15" x14ac:dyDescent="0.25">
      <c r="A273" s="4"/>
      <c r="B273" s="5"/>
      <c r="C273" s="5"/>
      <c r="D273" s="5"/>
      <c r="E273" s="5"/>
      <c r="F273" s="5"/>
      <c r="G273" s="5"/>
      <c r="H273" s="13">
        <f t="shared" si="11"/>
        <v>0</v>
      </c>
      <c r="I273" s="5"/>
      <c r="J273" s="5"/>
      <c r="K273" s="5"/>
      <c r="L273" s="10"/>
      <c r="M273" s="8"/>
      <c r="N273" s="12"/>
      <c r="O273" s="14">
        <f t="shared" si="12"/>
        <v>0</v>
      </c>
    </row>
    <row r="274" spans="1:15" x14ac:dyDescent="0.25">
      <c r="A274" s="4"/>
      <c r="B274" s="5"/>
      <c r="C274" s="5"/>
      <c r="D274" s="5"/>
      <c r="E274" s="5"/>
      <c r="F274" s="5"/>
      <c r="G274" s="5"/>
      <c r="H274" s="13">
        <f t="shared" si="11"/>
        <v>0</v>
      </c>
      <c r="I274" s="5"/>
      <c r="J274" s="5"/>
      <c r="K274" s="5"/>
      <c r="L274" s="10"/>
      <c r="M274" s="8"/>
      <c r="N274" s="12"/>
      <c r="O274" s="14">
        <f t="shared" si="12"/>
        <v>0</v>
      </c>
    </row>
    <row r="275" spans="1:15" x14ac:dyDescent="0.25">
      <c r="A275" s="4"/>
      <c r="B275" s="5"/>
      <c r="C275" s="5"/>
      <c r="D275" s="5"/>
      <c r="E275" s="5"/>
      <c r="F275" s="5"/>
      <c r="G275" s="5"/>
      <c r="H275" s="13">
        <f t="shared" si="11"/>
        <v>0</v>
      </c>
      <c r="I275" s="5"/>
      <c r="J275" s="5"/>
      <c r="K275" s="5"/>
      <c r="L275" s="10"/>
      <c r="M275" s="8"/>
      <c r="N275" s="12"/>
      <c r="O275" s="14">
        <f t="shared" si="12"/>
        <v>0</v>
      </c>
    </row>
    <row r="276" spans="1:15" x14ac:dyDescent="0.25">
      <c r="A276" s="4"/>
      <c r="B276" s="5"/>
      <c r="C276" s="5"/>
      <c r="D276" s="5"/>
      <c r="E276" s="5"/>
      <c r="F276" s="5"/>
      <c r="G276" s="5"/>
      <c r="H276" s="13">
        <f t="shared" si="11"/>
        <v>0</v>
      </c>
      <c r="I276" s="5"/>
      <c r="J276" s="5"/>
      <c r="K276" s="5"/>
      <c r="L276" s="10"/>
      <c r="M276" s="8"/>
      <c r="N276" s="12"/>
      <c r="O276" s="14">
        <f t="shared" si="12"/>
        <v>0</v>
      </c>
    </row>
    <row r="277" spans="1:15" x14ac:dyDescent="0.25">
      <c r="A277" s="4"/>
      <c r="B277" s="5"/>
      <c r="C277" s="5"/>
      <c r="D277" s="5"/>
      <c r="E277" s="5"/>
      <c r="F277" s="5"/>
      <c r="G277" s="5"/>
      <c r="H277" s="13">
        <f t="shared" si="11"/>
        <v>0</v>
      </c>
      <c r="I277" s="5"/>
      <c r="J277" s="5"/>
      <c r="K277" s="5"/>
      <c r="L277" s="10"/>
      <c r="M277" s="8"/>
      <c r="N277" s="12"/>
      <c r="O277" s="14">
        <f t="shared" si="12"/>
        <v>0</v>
      </c>
    </row>
    <row r="278" spans="1:15" x14ac:dyDescent="0.25">
      <c r="A278" s="4"/>
      <c r="B278" s="5"/>
      <c r="C278" s="5"/>
      <c r="D278" s="5"/>
      <c r="E278" s="5"/>
      <c r="F278" s="5"/>
      <c r="G278" s="5"/>
      <c r="H278" s="13">
        <f t="shared" si="11"/>
        <v>0</v>
      </c>
      <c r="I278" s="5"/>
      <c r="J278" s="5"/>
      <c r="K278" s="5"/>
      <c r="L278" s="10"/>
      <c r="M278" s="8"/>
      <c r="N278" s="12"/>
      <c r="O278" s="14">
        <f t="shared" si="12"/>
        <v>0</v>
      </c>
    </row>
    <row r="279" spans="1:15" x14ac:dyDescent="0.25">
      <c r="A279" s="4"/>
      <c r="B279" s="5"/>
      <c r="C279" s="5"/>
      <c r="D279" s="5"/>
      <c r="E279" s="5"/>
      <c r="F279" s="5"/>
      <c r="G279" s="5"/>
      <c r="H279" s="13">
        <f t="shared" si="11"/>
        <v>0</v>
      </c>
      <c r="I279" s="5"/>
      <c r="J279" s="5"/>
      <c r="K279" s="5"/>
      <c r="L279" s="10"/>
      <c r="M279" s="8"/>
      <c r="N279" s="12"/>
      <c r="O279" s="14">
        <f t="shared" si="12"/>
        <v>0</v>
      </c>
    </row>
    <row r="280" spans="1:15" x14ac:dyDescent="0.25">
      <c r="A280" s="4"/>
      <c r="B280" s="5"/>
      <c r="C280" s="5"/>
      <c r="D280" s="5"/>
      <c r="E280" s="5"/>
      <c r="F280" s="5"/>
      <c r="G280" s="5"/>
      <c r="H280" s="13">
        <f t="shared" si="11"/>
        <v>0</v>
      </c>
      <c r="I280" s="5"/>
      <c r="J280" s="5"/>
      <c r="K280" s="5"/>
      <c r="L280" s="10"/>
      <c r="M280" s="8"/>
      <c r="N280" s="12"/>
      <c r="O280" s="14">
        <f t="shared" si="12"/>
        <v>0</v>
      </c>
    </row>
    <row r="281" spans="1:15" x14ac:dyDescent="0.25">
      <c r="A281" s="4"/>
      <c r="B281" s="5"/>
      <c r="C281" s="5"/>
      <c r="D281" s="5"/>
      <c r="E281" s="5"/>
      <c r="F281" s="5"/>
      <c r="G281" s="5"/>
      <c r="H281" s="13">
        <f t="shared" si="11"/>
        <v>0</v>
      </c>
      <c r="I281" s="5"/>
      <c r="J281" s="5"/>
      <c r="K281" s="5"/>
      <c r="L281" s="10"/>
      <c r="M281" s="8"/>
      <c r="N281" s="12"/>
      <c r="O281" s="14">
        <f t="shared" si="12"/>
        <v>0</v>
      </c>
    </row>
    <row r="282" spans="1:15" x14ac:dyDescent="0.25">
      <c r="A282" s="4"/>
      <c r="B282" s="5"/>
      <c r="C282" s="5"/>
      <c r="D282" s="5"/>
      <c r="E282" s="5"/>
      <c r="F282" s="5"/>
      <c r="G282" s="5"/>
      <c r="H282" s="13">
        <f t="shared" si="11"/>
        <v>0</v>
      </c>
      <c r="I282" s="5"/>
      <c r="J282" s="5"/>
      <c r="K282" s="5"/>
      <c r="L282" s="10"/>
      <c r="M282" s="8"/>
      <c r="N282" s="12"/>
      <c r="O282" s="14">
        <f t="shared" si="12"/>
        <v>0</v>
      </c>
    </row>
    <row r="283" spans="1:15" x14ac:dyDescent="0.25">
      <c r="A283" s="4"/>
      <c r="B283" s="5"/>
      <c r="C283" s="5"/>
      <c r="D283" s="5"/>
      <c r="E283" s="5"/>
      <c r="F283" s="5"/>
      <c r="G283" s="5"/>
      <c r="H283" s="13">
        <f t="shared" si="11"/>
        <v>0</v>
      </c>
      <c r="I283" s="5"/>
      <c r="J283" s="5"/>
      <c r="K283" s="5"/>
      <c r="L283" s="10"/>
      <c r="M283" s="8"/>
      <c r="N283" s="12"/>
      <c r="O283" s="14">
        <f t="shared" si="12"/>
        <v>0</v>
      </c>
    </row>
    <row r="284" spans="1:15" x14ac:dyDescent="0.25">
      <c r="A284" s="4"/>
      <c r="B284" s="5"/>
      <c r="C284" s="5"/>
      <c r="D284" s="5"/>
      <c r="E284" s="5"/>
      <c r="F284" s="5"/>
      <c r="G284" s="5"/>
      <c r="H284" s="13">
        <f t="shared" si="11"/>
        <v>0</v>
      </c>
      <c r="I284" s="5"/>
      <c r="J284" s="5"/>
      <c r="K284" s="5"/>
      <c r="L284" s="10"/>
      <c r="M284" s="8"/>
      <c r="N284" s="12"/>
      <c r="O284" s="14">
        <f t="shared" si="12"/>
        <v>0</v>
      </c>
    </row>
    <row r="285" spans="1:15" x14ac:dyDescent="0.25">
      <c r="A285" s="4"/>
      <c r="B285" s="5"/>
      <c r="C285" s="5"/>
      <c r="D285" s="5"/>
      <c r="E285" s="5"/>
      <c r="F285" s="5"/>
      <c r="G285" s="5"/>
      <c r="H285" s="13">
        <f t="shared" si="11"/>
        <v>0</v>
      </c>
      <c r="I285" s="5"/>
      <c r="J285" s="5"/>
      <c r="K285" s="5"/>
      <c r="L285" s="10"/>
      <c r="M285" s="8"/>
      <c r="N285" s="12"/>
      <c r="O285" s="14">
        <f t="shared" si="12"/>
        <v>0</v>
      </c>
    </row>
    <row r="286" spans="1:15" x14ac:dyDescent="0.25">
      <c r="A286" s="4"/>
      <c r="B286" s="5"/>
      <c r="C286" s="5"/>
      <c r="D286" s="5"/>
      <c r="E286" s="5"/>
      <c r="F286" s="5"/>
      <c r="G286" s="5"/>
      <c r="H286" s="13">
        <f t="shared" si="11"/>
        <v>0</v>
      </c>
      <c r="I286" s="5"/>
      <c r="J286" s="5"/>
      <c r="K286" s="5"/>
      <c r="L286" s="10"/>
      <c r="M286" s="8"/>
      <c r="N286" s="12"/>
      <c r="O286" s="14">
        <f t="shared" si="12"/>
        <v>0</v>
      </c>
    </row>
    <row r="287" spans="1:15" x14ac:dyDescent="0.25">
      <c r="A287" s="4"/>
      <c r="B287" s="5"/>
      <c r="C287" s="5"/>
      <c r="D287" s="5"/>
      <c r="E287" s="5"/>
      <c r="F287" s="5"/>
      <c r="G287" s="5"/>
      <c r="H287" s="13">
        <f t="shared" si="11"/>
        <v>0</v>
      </c>
      <c r="I287" s="5"/>
      <c r="J287" s="5"/>
      <c r="K287" s="5"/>
      <c r="L287" s="10"/>
      <c r="M287" s="8"/>
      <c r="N287" s="12"/>
      <c r="O287" s="14">
        <f t="shared" si="12"/>
        <v>0</v>
      </c>
    </row>
    <row r="288" spans="1:15" x14ac:dyDescent="0.25">
      <c r="A288" s="4"/>
      <c r="B288" s="5"/>
      <c r="C288" s="5"/>
      <c r="D288" s="5"/>
      <c r="E288" s="5"/>
      <c r="F288" s="5"/>
      <c r="G288" s="5"/>
      <c r="H288" s="13">
        <f t="shared" si="11"/>
        <v>0</v>
      </c>
      <c r="I288" s="5"/>
      <c r="J288" s="5"/>
      <c r="K288" s="5"/>
      <c r="L288" s="10"/>
      <c r="M288" s="8"/>
      <c r="N288" s="12"/>
      <c r="O288" s="14">
        <f t="shared" si="12"/>
        <v>0</v>
      </c>
    </row>
    <row r="289" spans="1:15" x14ac:dyDescent="0.25">
      <c r="A289" s="4"/>
      <c r="B289" s="5"/>
      <c r="C289" s="5"/>
      <c r="D289" s="5"/>
      <c r="E289" s="5"/>
      <c r="F289" s="5"/>
      <c r="G289" s="5"/>
      <c r="H289" s="13">
        <f t="shared" si="11"/>
        <v>0</v>
      </c>
      <c r="I289" s="5"/>
      <c r="J289" s="5"/>
      <c r="K289" s="5"/>
      <c r="L289" s="10"/>
      <c r="M289" s="8"/>
      <c r="N289" s="12"/>
      <c r="O289" s="14">
        <f t="shared" si="12"/>
        <v>0</v>
      </c>
    </row>
    <row r="290" spans="1:15" x14ac:dyDescent="0.25">
      <c r="A290" s="4"/>
      <c r="B290" s="5"/>
      <c r="C290" s="5"/>
      <c r="D290" s="5"/>
      <c r="E290" s="5"/>
      <c r="F290" s="5"/>
      <c r="G290" s="5"/>
      <c r="H290" s="13">
        <f t="shared" si="11"/>
        <v>0</v>
      </c>
      <c r="I290" s="5"/>
      <c r="J290" s="5"/>
      <c r="K290" s="5"/>
      <c r="L290" s="10"/>
      <c r="M290" s="8"/>
      <c r="N290" s="12"/>
      <c r="O290" s="14">
        <f t="shared" si="12"/>
        <v>0</v>
      </c>
    </row>
    <row r="291" spans="1:15" x14ac:dyDescent="0.25">
      <c r="A291" s="4"/>
      <c r="B291" s="5"/>
      <c r="C291" s="5"/>
      <c r="D291" s="5"/>
      <c r="E291" s="5"/>
      <c r="F291" s="5"/>
      <c r="G291" s="5"/>
      <c r="H291" s="13">
        <f t="shared" si="11"/>
        <v>0</v>
      </c>
      <c r="I291" s="5"/>
      <c r="J291" s="5"/>
      <c r="K291" s="5"/>
      <c r="L291" s="10"/>
      <c r="M291" s="8"/>
      <c r="N291" s="12"/>
      <c r="O291" s="14">
        <f t="shared" si="12"/>
        <v>0</v>
      </c>
    </row>
    <row r="292" spans="1:15" x14ac:dyDescent="0.25">
      <c r="A292" s="4"/>
      <c r="B292" s="5"/>
      <c r="C292" s="5"/>
      <c r="D292" s="5"/>
      <c r="E292" s="5"/>
      <c r="F292" s="5"/>
      <c r="G292" s="5"/>
      <c r="H292" s="13">
        <f t="shared" si="11"/>
        <v>0</v>
      </c>
      <c r="I292" s="5"/>
      <c r="J292" s="5"/>
      <c r="K292" s="5"/>
      <c r="L292" s="10"/>
      <c r="M292" s="8"/>
      <c r="N292" s="12"/>
      <c r="O292" s="14">
        <f t="shared" si="12"/>
        <v>0</v>
      </c>
    </row>
    <row r="293" spans="1:15" x14ac:dyDescent="0.25">
      <c r="A293" s="4"/>
      <c r="B293" s="5"/>
      <c r="C293" s="5"/>
      <c r="D293" s="5"/>
      <c r="E293" s="5"/>
      <c r="F293" s="5"/>
      <c r="G293" s="5"/>
      <c r="H293" s="13">
        <f t="shared" si="11"/>
        <v>0</v>
      </c>
      <c r="I293" s="5"/>
      <c r="J293" s="5"/>
      <c r="K293" s="5"/>
      <c r="L293" s="10"/>
      <c r="M293" s="8"/>
      <c r="N293" s="12"/>
      <c r="O293" s="14">
        <f t="shared" si="12"/>
        <v>0</v>
      </c>
    </row>
    <row r="294" spans="1:15" x14ac:dyDescent="0.25">
      <c r="A294" s="4"/>
      <c r="B294" s="5"/>
      <c r="C294" s="5"/>
      <c r="D294" s="5"/>
      <c r="E294" s="5"/>
      <c r="F294" s="5"/>
      <c r="G294" s="5"/>
      <c r="H294" s="13">
        <f t="shared" si="11"/>
        <v>0</v>
      </c>
      <c r="I294" s="5"/>
      <c r="J294" s="5"/>
      <c r="K294" s="5"/>
      <c r="L294" s="10"/>
      <c r="M294" s="8"/>
      <c r="N294" s="12"/>
      <c r="O294" s="14">
        <f t="shared" si="12"/>
        <v>0</v>
      </c>
    </row>
    <row r="295" spans="1:15" x14ac:dyDescent="0.25">
      <c r="A295" s="4"/>
      <c r="B295" s="5"/>
      <c r="C295" s="5"/>
      <c r="D295" s="5"/>
      <c r="E295" s="5"/>
      <c r="F295" s="5"/>
      <c r="G295" s="5"/>
      <c r="H295" s="13">
        <f t="shared" si="11"/>
        <v>0</v>
      </c>
      <c r="I295" s="5"/>
      <c r="J295" s="5"/>
      <c r="K295" s="5"/>
      <c r="L295" s="10"/>
      <c r="M295" s="8"/>
      <c r="N295" s="12"/>
      <c r="O295" s="14">
        <f t="shared" si="12"/>
        <v>0</v>
      </c>
    </row>
    <row r="296" spans="1:15" x14ac:dyDescent="0.25">
      <c r="A296" s="4"/>
      <c r="B296" s="5"/>
      <c r="C296" s="5"/>
      <c r="D296" s="5"/>
      <c r="E296" s="5"/>
      <c r="F296" s="5"/>
      <c r="G296" s="5"/>
      <c r="H296" s="13">
        <f t="shared" si="11"/>
        <v>0</v>
      </c>
      <c r="I296" s="5"/>
      <c r="J296" s="5"/>
      <c r="K296" s="5"/>
      <c r="L296" s="10"/>
      <c r="M296" s="8"/>
      <c r="N296" s="12"/>
      <c r="O296" s="14">
        <f t="shared" si="12"/>
        <v>0</v>
      </c>
    </row>
    <row r="297" spans="1:15" x14ac:dyDescent="0.25">
      <c r="A297" s="4"/>
      <c r="B297" s="5"/>
      <c r="C297" s="5"/>
      <c r="D297" s="5"/>
      <c r="E297" s="5"/>
      <c r="F297" s="5"/>
      <c r="G297" s="5"/>
      <c r="H297" s="13">
        <f t="shared" si="11"/>
        <v>0</v>
      </c>
      <c r="I297" s="5"/>
      <c r="J297" s="5"/>
      <c r="K297" s="5"/>
      <c r="L297" s="10"/>
      <c r="M297" s="8"/>
      <c r="N297" s="12"/>
      <c r="O297" s="14">
        <f t="shared" si="12"/>
        <v>0</v>
      </c>
    </row>
    <row r="298" spans="1:15" x14ac:dyDescent="0.25">
      <c r="A298" s="4"/>
      <c r="B298" s="5"/>
      <c r="C298" s="5"/>
      <c r="D298" s="5"/>
      <c r="E298" s="5"/>
      <c r="F298" s="5"/>
      <c r="G298" s="5"/>
      <c r="H298" s="13">
        <f t="shared" si="11"/>
        <v>0</v>
      </c>
      <c r="I298" s="5"/>
      <c r="J298" s="5"/>
      <c r="K298" s="5"/>
      <c r="L298" s="10"/>
      <c r="M298" s="8"/>
      <c r="N298" s="12"/>
      <c r="O298" s="14">
        <f t="shared" si="12"/>
        <v>0</v>
      </c>
    </row>
    <row r="299" spans="1:15" x14ac:dyDescent="0.25">
      <c r="A299" s="4"/>
      <c r="B299" s="5"/>
      <c r="C299" s="5"/>
      <c r="D299" s="5"/>
      <c r="E299" s="5"/>
      <c r="F299" s="5"/>
      <c r="G299" s="5"/>
      <c r="H299" s="13">
        <f t="shared" si="11"/>
        <v>0</v>
      </c>
      <c r="I299" s="5"/>
      <c r="J299" s="5"/>
      <c r="K299" s="5"/>
      <c r="L299" s="10"/>
      <c r="M299" s="8"/>
      <c r="N299" s="12"/>
      <c r="O299" s="14">
        <f t="shared" si="12"/>
        <v>0</v>
      </c>
    </row>
    <row r="300" spans="1:15" x14ac:dyDescent="0.25">
      <c r="A300" s="4"/>
      <c r="B300" s="5"/>
      <c r="C300" s="5"/>
      <c r="D300" s="5"/>
      <c r="E300" s="5"/>
      <c r="F300" s="5"/>
      <c r="G300" s="5"/>
      <c r="H300" s="13">
        <f t="shared" ref="H300" si="13">IF(G300="SI",1,0)</f>
        <v>0</v>
      </c>
      <c r="I300" s="5"/>
      <c r="J300" s="5"/>
      <c r="K300" s="5"/>
      <c r="L300" s="10"/>
      <c r="M300" s="8"/>
      <c r="N300" s="12"/>
      <c r="O300" s="14">
        <f t="shared" ref="O300" si="14">M300*N300</f>
        <v>0</v>
      </c>
    </row>
  </sheetData>
  <protectedRanges>
    <protectedRange password="97B0" sqref="A2:O300" name="Usuarios OPTOL" securityDescriptor="O:WDG:WDD:(A;;CC;;;WD)"/>
  </protectedRanges>
  <dataValidations count="9">
    <dataValidation type="decimal" allowBlank="1" showInputMessage="1" showErrorMessage="1" sqref="M125:M300">
      <formula1>0</formula1>
      <formula2>300000000</formula2>
    </dataValidation>
    <dataValidation type="textLength" allowBlank="1" showInputMessage="1" showErrorMessage="1" sqref="B125:B300">
      <formula1>1</formula1>
      <formula2>50</formula2>
    </dataValidation>
    <dataValidation type="decimal" allowBlank="1" showInputMessage="1" showErrorMessage="1" sqref="N2:N300">
      <formula1>0</formula1>
      <formula2>40</formula2>
    </dataValidation>
    <dataValidation type="decimal" allowBlank="1" showInputMessage="1" showErrorMessage="1" sqref="O2:O300">
      <formula1>0</formula1>
      <formula2>4000000000000</formula2>
    </dataValidation>
    <dataValidation type="textLength" allowBlank="1" showInputMessage="1" showErrorMessage="1" sqref="K125:L300">
      <formula1>1</formula1>
      <formula2>20</formula2>
    </dataValidation>
    <dataValidation type="textLength" allowBlank="1" showInputMessage="1" showErrorMessage="1" sqref="I125:I300">
      <formula1>0</formula1>
      <formula2>50</formula2>
    </dataValidation>
    <dataValidation type="whole" allowBlank="1" showInputMessage="1" showErrorMessage="1" sqref="H125:H300">
      <formula1>0</formula1>
      <formula2>200</formula2>
    </dataValidation>
    <dataValidation type="textLength" allowBlank="1" showInputMessage="1" sqref="C125:F300 A125:A300">
      <formula1>0</formula1>
      <formula2>50</formula2>
    </dataValidation>
    <dataValidation type="list" allowBlank="1" showInputMessage="1" showErrorMessage="1" sqref="G2:G124 J2:J124">
      <formula1>"SI,NO"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16</xdr:col>
                <xdr:colOff>38100</xdr:colOff>
                <xdr:row>2</xdr:row>
                <xdr:rowOff>123825</xdr:rowOff>
              </from>
              <to>
                <xdr:col>16</xdr:col>
                <xdr:colOff>1905000</xdr:colOff>
                <xdr:row>2</xdr:row>
                <xdr:rowOff>438150</xdr:rowOff>
              </to>
            </anchor>
          </controlPr>
        </control>
      </mc:Choice>
      <mc:Fallback>
        <control shapeId="2052" r:id="rId4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Link!$A$1:$A$2</xm:f>
          </x14:formula1>
          <xm:sqref>J125:J300 G125:G300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Link - Marc</vt:lpstr>
      <vt:lpstr>Link - TIPO</vt:lpstr>
      <vt:lpstr>Link - Tipo2</vt:lpstr>
      <vt:lpstr>Link - Tipo3</vt:lpstr>
      <vt:lpstr>Link - Tipo4</vt:lpstr>
      <vt:lpstr>Link - Prov</vt:lpstr>
      <vt:lpstr>Link</vt:lpstr>
      <vt:lpstr>OPTOL CARGA MASIVA</vt:lpstr>
      <vt:lpstr>'Link - Marc'!INFO_CARGA_MASIVA_MARCA</vt:lpstr>
      <vt:lpstr>'Link - Prov'!INFO_CARGA_MASIVA_PROVEEDOR</vt:lpstr>
      <vt:lpstr>'Link - TIPO'!INFO_CARGA_MASIVA_TIPO</vt:lpstr>
      <vt:lpstr>'Link - Tipo2'!INFO_CARGA_MASIVA_TIPO2</vt:lpstr>
      <vt:lpstr>'Link - Tipo3'!INFO_CARGA_MASIVA_TIPO3</vt:lpstr>
      <vt:lpstr>'Link - Tipo4'!INFO_CARGA_MASIVA_TIPO4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</dc:creator>
  <cp:lastModifiedBy>Usuario de Windows</cp:lastModifiedBy>
  <dcterms:created xsi:type="dcterms:W3CDTF">2013-02-24T23:16:36Z</dcterms:created>
  <dcterms:modified xsi:type="dcterms:W3CDTF">2025-05-24T13:25:31Z</dcterms:modified>
</cp:coreProperties>
</file>